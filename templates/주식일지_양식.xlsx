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자산" sheetId="1" state="visible" r:id="rId1"/>
    <sheet xmlns:r="http://schemas.openxmlformats.org/officeDocument/2006/relationships" name="국장투자" sheetId="2" state="visible" r:id="rId2"/>
    <sheet xmlns:r="http://schemas.openxmlformats.org/officeDocument/2006/relationships" name="미장투자" sheetId="3" state="visible" r:id="rId3"/>
    <sheet xmlns:r="http://schemas.openxmlformats.org/officeDocument/2006/relationships" name="현금투자" sheetId="4" state="visible" r:id="rId4"/>
    <sheet xmlns:r="http://schemas.openxmlformats.org/officeDocument/2006/relationships" name="설정" sheetId="5" state="visible" r:id="rId5"/>
    <sheet xmlns:r="http://schemas.openxmlformats.org/officeDocument/2006/relationships" name="_거래집계" sheetId="6" state="hidden" r:id="rId6"/>
    <sheet xmlns:r="http://schemas.openxmlformats.org/officeDocument/2006/relationships" name="App_매매계획" sheetId="7" state="visible" r:id="rId7"/>
    <sheet xmlns:r="http://schemas.openxmlformats.org/officeDocument/2006/relationships" name="App_매매회고" sheetId="8" state="visible" r:id="rId8"/>
    <sheet xmlns:r="http://schemas.openxmlformats.org/officeDocument/2006/relationships" name="App_자산추이" sheetId="9" state="visible" r:id="rId9"/>
    <sheet xmlns:r="http://schemas.openxmlformats.org/officeDocument/2006/relationships" name="App_관심종목" sheetId="10" state="visible" r:id="rId10"/>
    <sheet xmlns:r="http://schemas.openxmlformats.org/officeDocument/2006/relationships" name="App_전망" sheetId="11" state="visible" r:id="rId11"/>
    <sheet xmlns:r="http://schemas.openxmlformats.org/officeDocument/2006/relationships" name="App_일간전망" sheetId="12" state="visible" r:id="rId12"/>
    <sheet xmlns:r="http://schemas.openxmlformats.org/officeDocument/2006/relationships" name="App_시그널" sheetId="13" state="visible" r:id="rId13"/>
    <sheet xmlns:r="http://schemas.openxmlformats.org/officeDocument/2006/relationships" name="App_재무추이" sheetId="14" state="visible" r:id="rId14"/>
  </sheets>
  <definedNames>
    <definedName name="FX_USDKRW">'설정'!$B$5</definedName>
    <definedName name="URL_KR">'설정'!$B$6</definedName>
    <definedName name="URL_US">'설정'!$B$7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₩#,##0;-₩#,##0"/>
    <numFmt numFmtId="165" formatCode="$#,##0.00;-$#,##0.00"/>
    <numFmt numFmtId="166" formatCode="#,##0.####"/>
    <numFmt numFmtId="167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color rgb="001155CC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166" fontId="3" fillId="3" borderId="0" pivotButton="0" quotePrefix="0" xfId="0"/>
    <xf numFmtId="164" fontId="3" fillId="3" borderId="0" pivotButton="0" quotePrefix="0" xfId="0"/>
    <xf numFmtId="10" fontId="3" fillId="3" borderId="0" pivotButton="0" quotePrefix="0" xfId="0"/>
    <xf numFmtId="166" fontId="0" fillId="0" borderId="0" pivotButton="0" quotePrefix="0" xfId="0"/>
    <xf numFmtId="165" fontId="3" fillId="3" borderId="0" pivotButton="0" quotePrefix="0" xfId="0"/>
    <xf numFmtId="167" fontId="4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165" fontId="4" fillId="0" borderId="0" pivotButton="0" quotePrefix="0" xfId="0"/>
    <xf numFmtId="165" fontId="3" fillId="0" borderId="0" pivotButton="0" quotePrefix="0" xfId="0"/>
    <xf numFmtId="4" fontId="0" fillId="0" borderId="0" pivotButton="0" quotePrefix="0" xfId="0"/>
    <xf numFmtId="4" fontId="4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주식 총자산</t>
        </is>
      </c>
    </row>
    <row r="2">
      <c r="A2" s="2" t="inlineStr">
        <is>
          <t>종목별 보유 현황은 '국장투자' / '미장투자' 시트, 투자 원금·예수금은 '현금투자' 시트에서 확인하세요. 환율·파일 URL은 '설정' 시트에서 변경합니다.</t>
        </is>
      </c>
    </row>
    <row r="3">
      <c r="A3" s="3" t="inlineStr">
        <is>
          <t>요약</t>
        </is>
      </c>
      <c r="B3" s="3" t="inlineStr">
        <is>
          <t>국장 (KRW)</t>
        </is>
      </c>
      <c r="C3" s="3" t="inlineStr">
        <is>
          <t>미장 (USD)</t>
        </is>
      </c>
      <c r="D3" s="3" t="inlineStr">
        <is>
          <t>미장 (원화 환산)</t>
        </is>
      </c>
      <c r="E3" s="3" t="inlineStr">
        <is>
          <t>합계 (KRW)</t>
        </is>
      </c>
      <c r="F3" s="3" t="inlineStr">
        <is>
          <t>합계 (USD 환산)</t>
        </is>
      </c>
    </row>
    <row r="4">
      <c r="A4" s="4" t="inlineStr">
        <is>
          <t>투자 원금</t>
        </is>
      </c>
      <c r="B4" s="5">
        <f>'현금투자'!B16</f>
        <v/>
      </c>
      <c r="C4" s="6">
        <f>'현금투자'!B29</f>
        <v/>
      </c>
      <c r="D4" s="5">
        <f>'현금투자'!B31</f>
        <v/>
      </c>
      <c r="E4" s="5">
        <f>B4+D4</f>
        <v/>
      </c>
      <c r="F4" s="6">
        <f>E4/FX_USDKRW</f>
        <v/>
      </c>
    </row>
    <row r="5">
      <c r="A5" s="4" t="inlineStr">
        <is>
          <t>매수금액</t>
        </is>
      </c>
      <c r="B5" s="5">
        <f>'국장투자'!G4</f>
        <v/>
      </c>
      <c r="C5" s="6">
        <f>'미장투자'!G4</f>
        <v/>
      </c>
      <c r="D5" s="5">
        <f>C5*FX_USDKRW</f>
        <v/>
      </c>
      <c r="E5" s="5">
        <f>B5+D5</f>
        <v/>
      </c>
      <c r="F5" s="6">
        <f>E5/FX_USDKRW</f>
        <v/>
      </c>
    </row>
    <row r="6">
      <c r="A6" s="4" t="inlineStr">
        <is>
          <t>평가금액</t>
        </is>
      </c>
      <c r="B6" s="5">
        <f>'국장투자'!H4</f>
        <v/>
      </c>
      <c r="C6" s="6">
        <f>'미장투자'!H4</f>
        <v/>
      </c>
      <c r="D6" s="5">
        <f>C6*FX_USDKRW</f>
        <v/>
      </c>
      <c r="E6" s="5">
        <f>B6+D6</f>
        <v/>
      </c>
      <c r="F6" s="6">
        <f>E6/FX_USDKRW</f>
        <v/>
      </c>
    </row>
    <row r="7">
      <c r="A7" s="4" t="inlineStr">
        <is>
          <t>예수금</t>
        </is>
      </c>
      <c r="B7" s="5">
        <f>'현금투자'!C13</f>
        <v/>
      </c>
      <c r="C7" s="6">
        <f>'현금투자'!C26</f>
        <v/>
      </c>
      <c r="D7" s="5">
        <f>C7*FX_USDKRW</f>
        <v/>
      </c>
      <c r="E7" s="5">
        <f>B7+D7</f>
        <v/>
      </c>
      <c r="F7" s="6">
        <f>E7/FX_USDKRW</f>
        <v/>
      </c>
    </row>
    <row r="8">
      <c r="A8" s="4" t="inlineStr">
        <is>
          <t>총 평가자산</t>
        </is>
      </c>
      <c r="B8" s="5">
        <f>B6+B7</f>
        <v/>
      </c>
      <c r="C8" s="6">
        <f>C6+C7</f>
        <v/>
      </c>
      <c r="D8" s="5">
        <f>D6+D7</f>
        <v/>
      </c>
      <c r="E8" s="5">
        <f>E6+E7</f>
        <v/>
      </c>
      <c r="F8" s="6">
        <f>E8/FX_USDKRW</f>
        <v/>
      </c>
    </row>
    <row r="9">
      <c r="A9" s="4" t="inlineStr">
        <is>
          <t>총 손익</t>
        </is>
      </c>
      <c r="B9" s="5">
        <f>B8-B4</f>
        <v/>
      </c>
      <c r="C9" s="6">
        <f>C8-C4</f>
        <v/>
      </c>
      <c r="D9" s="5">
        <f>D8-D4</f>
        <v/>
      </c>
      <c r="E9" s="5">
        <f>E8-E4</f>
        <v/>
      </c>
      <c r="F9" s="6">
        <f>E9/FX_USDKRW</f>
        <v/>
      </c>
    </row>
    <row r="10">
      <c r="A10" s="4" t="inlineStr">
        <is>
          <t>수익률</t>
        </is>
      </c>
      <c r="B10" s="7">
        <f>IF(B4=0,0,B9/B4)</f>
        <v/>
      </c>
      <c r="C10" s="7">
        <f>IF(C4=0,0,C9/C4)</f>
        <v/>
      </c>
      <c r="D10" s="7">
        <f>IF(D4=0,0,D9/D4)</f>
        <v/>
      </c>
      <c r="E10" s="7">
        <f>IF(E4=0,0,E9/E4)</f>
        <v/>
      </c>
      <c r="F10" s="7">
        <f>E10</f>
        <v/>
      </c>
    </row>
    <row r="11">
      <c r="A11" s="4" t="inlineStr">
        <is>
          <t>누적 실현손익</t>
        </is>
      </c>
      <c r="B11" s="5">
        <f>'국장투자'!K4</f>
        <v/>
      </c>
      <c r="C11" s="6">
        <f>'미장투자'!K4</f>
        <v/>
      </c>
      <c r="D11" s="5">
        <f>C11*FX_USDKRW</f>
        <v/>
      </c>
      <c r="E11" s="5">
        <f>B11+D11</f>
        <v/>
      </c>
      <c r="F11" s="6">
        <f>E11/FX_USDKRW</f>
        <v/>
      </c>
    </row>
    <row r="13">
      <c r="A13" s="2" t="inlineStr">
        <is>
          <t>투자 원금은 '현금투자' 탭의 입출금·환전 내역 누적, 예수금은 기준일 스냅샷 + 이후 매매·입출금·환전 기준입니다. 누적 실현손익 행은 참고용 전체 기간 합계입니다. 미장 원화 환산 투자 원금은 누적 달러 매수 평균 환율(현금투자 B30) 기준이라 총 손익에 환차손익이 포함됩니다.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14" customWidth="1" min="5" max="5"/>
    <col width="13" customWidth="1" min="6" max="6"/>
    <col width="15" customWidth="1" min="7" max="7"/>
    <col width="15" customWidth="1" min="8" max="8"/>
    <col width="14" customWidth="1" min="9" max="9"/>
    <col width="9" customWidth="1" min="10" max="10"/>
    <col width="14" customWidth="1" min="11" max="11"/>
    <col width="8" customWidth="1" min="12" max="12"/>
  </cols>
  <sheetData>
    <row r="1">
      <c r="A1" s="1" t="inlineStr">
        <is>
          <t>국장 보유 종목 (KRW)</t>
        </is>
      </c>
    </row>
    <row r="2">
      <c r="A2" s="2" t="inlineStr">
        <is>
          <t>보유 종목은 국장_주식일지의 '종목목록' 탭에서 개수 제한 없이 자동으로 불러옵니다.</t>
        </is>
      </c>
    </row>
    <row r="3">
      <c r="A3" s="3" t="inlineStr">
        <is>
          <t>종목 탭</t>
        </is>
      </c>
      <c r="B3" s="3" t="inlineStr">
        <is>
          <t>종목명</t>
        </is>
      </c>
      <c r="C3" s="3" t="inlineStr">
        <is>
          <t>티커</t>
        </is>
      </c>
      <c r="D3" s="3" t="inlineStr">
        <is>
          <t>보유 수량</t>
        </is>
      </c>
      <c r="E3" s="3" t="inlineStr">
        <is>
          <t>평균 매수단가</t>
        </is>
      </c>
      <c r="F3" s="3" t="inlineStr">
        <is>
          <t>현재가</t>
        </is>
      </c>
      <c r="G3" s="3" t="inlineStr">
        <is>
          <t>매수금액</t>
        </is>
      </c>
      <c r="H3" s="3" t="inlineStr">
        <is>
          <t>평가금액</t>
        </is>
      </c>
      <c r="I3" s="3" t="inlineStr">
        <is>
          <t>평가 손익</t>
        </is>
      </c>
      <c r="J3" s="3" t="inlineStr">
        <is>
          <t>수익률</t>
        </is>
      </c>
      <c r="K3" s="3" t="inlineStr">
        <is>
          <t>누적 실현손익</t>
        </is>
      </c>
      <c r="L3" s="3" t="inlineStr">
        <is>
          <t>비중</t>
        </is>
      </c>
    </row>
    <row r="4">
      <c r="A4" s="8" t="inlineStr">
        <is>
          <t>합계</t>
        </is>
      </c>
      <c r="B4" s="8">
        <f>COUNTIF(A5:A,"?*")&amp;"종목"</f>
        <v/>
      </c>
      <c r="C4" s="8" t="n"/>
      <c r="D4" s="9" t="n"/>
      <c r="E4" s="10" t="n"/>
      <c r="F4" s="10" t="n"/>
      <c r="G4" s="10">
        <f>SUM(G5:G)</f>
        <v/>
      </c>
      <c r="H4" s="10">
        <f>SUM(H5:H)</f>
        <v/>
      </c>
      <c r="I4" s="10">
        <f>H4-G4</f>
        <v/>
      </c>
      <c r="J4" s="11">
        <f>IF(G4=0,0,I4/G4)</f>
        <v/>
      </c>
      <c r="K4" s="10">
        <f>SUM(K5:K)</f>
        <v/>
      </c>
      <c r="L4" s="11">
        <f>SUM(L5:L)</f>
        <v/>
      </c>
    </row>
    <row r="5">
      <c r="A5">
        <f>ARRAYFORMULA(IFERROR(LET(tl,IMPORTRANGE(URL_KR,"'종목목록'!A2:A"),tabs,FILTER(tl,tl&lt;&gt;""),rs,REDUCE(SEQUENCE(1,11,0,0),tabs,LAMBDA(acc,t,VSTACK(acc,LET(d,IMPORTRANGE(URL_KR,"'"&amp;t&amp;"'!A1:D7"),HSTACK(t,INDEX(d,1,2),INDEX(d,2,2),INDEX(d,4,2),INDEX(d,5,2),INDEX(d,3,2),INDEX(d,6,2),INDEX(d,7,2),INDEX(d,1,4),INDEX(d,2,4),INDEX(d,3,4)))))),r,FILTER(rs,SEQUENCE(ROWS(rs))&gt;1),h,CHOOSECOLS(r,8),tot,SUM(h),HSTACK(r,IF(tot=0,"",h/tot))),""))</f>
        <v/>
      </c>
      <c r="D5" s="12" t="n"/>
      <c r="E5" s="5" t="n"/>
      <c r="F5" s="5" t="n"/>
      <c r="G5" s="5" t="n"/>
      <c r="H5" s="5" t="n"/>
      <c r="I5" s="5" t="n"/>
      <c r="J5" s="7" t="n"/>
      <c r="K5" s="5" t="n"/>
      <c r="L5" s="7" t="n"/>
    </row>
    <row r="6">
      <c r="D6" s="12" t="n"/>
      <c r="E6" s="5" t="n"/>
      <c r="F6" s="5" t="n"/>
      <c r="G6" s="5" t="n"/>
      <c r="H6" s="5" t="n"/>
      <c r="I6" s="5" t="n"/>
      <c r="J6" s="7" t="n"/>
      <c r="K6" s="5" t="n"/>
      <c r="L6" s="7" t="n"/>
    </row>
    <row r="7">
      <c r="D7" s="12" t="n"/>
      <c r="E7" s="5" t="n"/>
      <c r="F7" s="5" t="n"/>
      <c r="G7" s="5" t="n"/>
      <c r="H7" s="5" t="n"/>
      <c r="I7" s="5" t="n"/>
      <c r="J7" s="7" t="n"/>
      <c r="K7" s="5" t="n"/>
      <c r="L7" s="7" t="n"/>
    </row>
    <row r="8">
      <c r="D8" s="12" t="n"/>
      <c r="E8" s="5" t="n"/>
      <c r="F8" s="5" t="n"/>
      <c r="G8" s="5" t="n"/>
      <c r="H8" s="5" t="n"/>
      <c r="I8" s="5" t="n"/>
      <c r="J8" s="7" t="n"/>
      <c r="K8" s="5" t="n"/>
      <c r="L8" s="7" t="n"/>
    </row>
    <row r="9">
      <c r="D9" s="12" t="n"/>
      <c r="E9" s="5" t="n"/>
      <c r="F9" s="5" t="n"/>
      <c r="G9" s="5" t="n"/>
      <c r="H9" s="5" t="n"/>
      <c r="I9" s="5" t="n"/>
      <c r="J9" s="7" t="n"/>
      <c r="K9" s="5" t="n"/>
      <c r="L9" s="7" t="n"/>
    </row>
    <row r="10">
      <c r="D10" s="12" t="n"/>
      <c r="E10" s="5" t="n"/>
      <c r="F10" s="5" t="n"/>
      <c r="G10" s="5" t="n"/>
      <c r="H10" s="5" t="n"/>
      <c r="I10" s="5" t="n"/>
      <c r="J10" s="7" t="n"/>
      <c r="K10" s="5" t="n"/>
      <c r="L10" s="7" t="n"/>
    </row>
    <row r="11">
      <c r="D11" s="12" t="n"/>
      <c r="E11" s="5" t="n"/>
      <c r="F11" s="5" t="n"/>
      <c r="G11" s="5" t="n"/>
      <c r="H11" s="5" t="n"/>
      <c r="I11" s="5" t="n"/>
      <c r="J11" s="7" t="n"/>
      <c r="K11" s="5" t="n"/>
      <c r="L11" s="7" t="n"/>
    </row>
    <row r="12">
      <c r="D12" s="12" t="n"/>
      <c r="E12" s="5" t="n"/>
      <c r="F12" s="5" t="n"/>
      <c r="G12" s="5" t="n"/>
      <c r="H12" s="5" t="n"/>
      <c r="I12" s="5" t="n"/>
      <c r="J12" s="7" t="n"/>
      <c r="K12" s="5" t="n"/>
      <c r="L12" s="7" t="n"/>
    </row>
    <row r="13">
      <c r="D13" s="12" t="n"/>
      <c r="E13" s="5" t="n"/>
      <c r="F13" s="5" t="n"/>
      <c r="G13" s="5" t="n"/>
      <c r="H13" s="5" t="n"/>
      <c r="I13" s="5" t="n"/>
      <c r="J13" s="7" t="n"/>
      <c r="K13" s="5" t="n"/>
      <c r="L13" s="7" t="n"/>
    </row>
    <row r="14">
      <c r="D14" s="12" t="n"/>
      <c r="E14" s="5" t="n"/>
      <c r="F14" s="5" t="n"/>
      <c r="G14" s="5" t="n"/>
      <c r="H14" s="5" t="n"/>
      <c r="I14" s="5" t="n"/>
      <c r="J14" s="7" t="n"/>
      <c r="K14" s="5" t="n"/>
      <c r="L14" s="7" t="n"/>
    </row>
    <row r="15">
      <c r="D15" s="12" t="n"/>
      <c r="E15" s="5" t="n"/>
      <c r="F15" s="5" t="n"/>
      <c r="G15" s="5" t="n"/>
      <c r="H15" s="5" t="n"/>
      <c r="I15" s="5" t="n"/>
      <c r="J15" s="7" t="n"/>
      <c r="K15" s="5" t="n"/>
      <c r="L15" s="7" t="n"/>
    </row>
    <row r="16">
      <c r="D16" s="12" t="n"/>
      <c r="E16" s="5" t="n"/>
      <c r="F16" s="5" t="n"/>
      <c r="G16" s="5" t="n"/>
      <c r="H16" s="5" t="n"/>
      <c r="I16" s="5" t="n"/>
      <c r="J16" s="7" t="n"/>
      <c r="K16" s="5" t="n"/>
      <c r="L16" s="7" t="n"/>
    </row>
    <row r="17">
      <c r="D17" s="12" t="n"/>
      <c r="E17" s="5" t="n"/>
      <c r="F17" s="5" t="n"/>
      <c r="G17" s="5" t="n"/>
      <c r="H17" s="5" t="n"/>
      <c r="I17" s="5" t="n"/>
      <c r="J17" s="7" t="n"/>
      <c r="K17" s="5" t="n"/>
      <c r="L17" s="7" t="n"/>
    </row>
    <row r="18">
      <c r="D18" s="12" t="n"/>
      <c r="E18" s="5" t="n"/>
      <c r="F18" s="5" t="n"/>
      <c r="G18" s="5" t="n"/>
      <c r="H18" s="5" t="n"/>
      <c r="I18" s="5" t="n"/>
      <c r="J18" s="7" t="n"/>
      <c r="K18" s="5" t="n"/>
      <c r="L18" s="7" t="n"/>
    </row>
    <row r="19">
      <c r="D19" s="12" t="n"/>
      <c r="E19" s="5" t="n"/>
      <c r="F19" s="5" t="n"/>
      <c r="G19" s="5" t="n"/>
      <c r="H19" s="5" t="n"/>
      <c r="I19" s="5" t="n"/>
      <c r="J19" s="7" t="n"/>
      <c r="K19" s="5" t="n"/>
      <c r="L19" s="7" t="n"/>
    </row>
    <row r="20">
      <c r="D20" s="12" t="n"/>
      <c r="E20" s="5" t="n"/>
      <c r="F20" s="5" t="n"/>
      <c r="G20" s="5" t="n"/>
      <c r="H20" s="5" t="n"/>
      <c r="I20" s="5" t="n"/>
      <c r="J20" s="7" t="n"/>
      <c r="K20" s="5" t="n"/>
      <c r="L20" s="7" t="n"/>
    </row>
    <row r="21">
      <c r="D21" s="12" t="n"/>
      <c r="E21" s="5" t="n"/>
      <c r="F21" s="5" t="n"/>
      <c r="G21" s="5" t="n"/>
      <c r="H21" s="5" t="n"/>
      <c r="I21" s="5" t="n"/>
      <c r="J21" s="7" t="n"/>
      <c r="K21" s="5" t="n"/>
      <c r="L21" s="7" t="n"/>
    </row>
    <row r="22">
      <c r="D22" s="12" t="n"/>
      <c r="E22" s="5" t="n"/>
      <c r="F22" s="5" t="n"/>
      <c r="G22" s="5" t="n"/>
      <c r="H22" s="5" t="n"/>
      <c r="I22" s="5" t="n"/>
      <c r="J22" s="7" t="n"/>
      <c r="K22" s="5" t="n"/>
      <c r="L22" s="7" t="n"/>
    </row>
    <row r="23">
      <c r="D23" s="12" t="n"/>
      <c r="E23" s="5" t="n"/>
      <c r="F23" s="5" t="n"/>
      <c r="G23" s="5" t="n"/>
      <c r="H23" s="5" t="n"/>
      <c r="I23" s="5" t="n"/>
      <c r="J23" s="7" t="n"/>
      <c r="K23" s="5" t="n"/>
      <c r="L23" s="7" t="n"/>
    </row>
    <row r="24">
      <c r="D24" s="12" t="n"/>
      <c r="E24" s="5" t="n"/>
      <c r="F24" s="5" t="n"/>
      <c r="G24" s="5" t="n"/>
      <c r="H24" s="5" t="n"/>
      <c r="I24" s="5" t="n"/>
      <c r="J24" s="7" t="n"/>
      <c r="K24" s="5" t="n"/>
      <c r="L24" s="7" t="n"/>
    </row>
    <row r="25">
      <c r="D25" s="12" t="n"/>
      <c r="E25" s="5" t="n"/>
      <c r="F25" s="5" t="n"/>
      <c r="G25" s="5" t="n"/>
      <c r="H25" s="5" t="n"/>
      <c r="I25" s="5" t="n"/>
      <c r="J25" s="7" t="n"/>
      <c r="K25" s="5" t="n"/>
      <c r="L25" s="7" t="n"/>
    </row>
    <row r="26">
      <c r="D26" s="12" t="n"/>
      <c r="E26" s="5" t="n"/>
      <c r="F26" s="5" t="n"/>
      <c r="G26" s="5" t="n"/>
      <c r="H26" s="5" t="n"/>
      <c r="I26" s="5" t="n"/>
      <c r="J26" s="7" t="n"/>
      <c r="K26" s="5" t="n"/>
      <c r="L26" s="7" t="n"/>
    </row>
    <row r="27">
      <c r="D27" s="12" t="n"/>
      <c r="E27" s="5" t="n"/>
      <c r="F27" s="5" t="n"/>
      <c r="G27" s="5" t="n"/>
      <c r="H27" s="5" t="n"/>
      <c r="I27" s="5" t="n"/>
      <c r="J27" s="7" t="n"/>
      <c r="K27" s="5" t="n"/>
      <c r="L27" s="7" t="n"/>
    </row>
    <row r="28">
      <c r="D28" s="12" t="n"/>
      <c r="E28" s="5" t="n"/>
      <c r="F28" s="5" t="n"/>
      <c r="G28" s="5" t="n"/>
      <c r="H28" s="5" t="n"/>
      <c r="I28" s="5" t="n"/>
      <c r="J28" s="7" t="n"/>
      <c r="K28" s="5" t="n"/>
      <c r="L28" s="7" t="n"/>
    </row>
    <row r="29">
      <c r="D29" s="12" t="n"/>
      <c r="E29" s="5" t="n"/>
      <c r="F29" s="5" t="n"/>
      <c r="G29" s="5" t="n"/>
      <c r="H29" s="5" t="n"/>
      <c r="I29" s="5" t="n"/>
      <c r="J29" s="7" t="n"/>
      <c r="K29" s="5" t="n"/>
      <c r="L29" s="7" t="n"/>
    </row>
    <row r="30">
      <c r="D30" s="12" t="n"/>
      <c r="E30" s="5" t="n"/>
      <c r="F30" s="5" t="n"/>
      <c r="G30" s="5" t="n"/>
      <c r="H30" s="5" t="n"/>
      <c r="I30" s="5" t="n"/>
      <c r="J30" s="7" t="n"/>
      <c r="K30" s="5" t="n"/>
      <c r="L30" s="7" t="n"/>
    </row>
    <row r="31">
      <c r="D31" s="12" t="n"/>
      <c r="E31" s="5" t="n"/>
      <c r="F31" s="5" t="n"/>
      <c r="G31" s="5" t="n"/>
      <c r="H31" s="5" t="n"/>
      <c r="I31" s="5" t="n"/>
      <c r="J31" s="7" t="n"/>
      <c r="K31" s="5" t="n"/>
      <c r="L31" s="7" t="n"/>
    </row>
    <row r="32">
      <c r="D32" s="12" t="n"/>
      <c r="E32" s="5" t="n"/>
      <c r="F32" s="5" t="n"/>
      <c r="G32" s="5" t="n"/>
      <c r="H32" s="5" t="n"/>
      <c r="I32" s="5" t="n"/>
      <c r="J32" s="7" t="n"/>
      <c r="K32" s="5" t="n"/>
      <c r="L32" s="7" t="n"/>
    </row>
    <row r="33">
      <c r="D33" s="12" t="n"/>
      <c r="E33" s="5" t="n"/>
      <c r="F33" s="5" t="n"/>
      <c r="G33" s="5" t="n"/>
      <c r="H33" s="5" t="n"/>
      <c r="I33" s="5" t="n"/>
      <c r="J33" s="7" t="n"/>
      <c r="K33" s="5" t="n"/>
      <c r="L33" s="7" t="n"/>
    </row>
    <row r="34">
      <c r="D34" s="12" t="n"/>
      <c r="E34" s="5" t="n"/>
      <c r="F34" s="5" t="n"/>
      <c r="G34" s="5" t="n"/>
      <c r="H34" s="5" t="n"/>
      <c r="I34" s="5" t="n"/>
      <c r="J34" s="7" t="n"/>
      <c r="K34" s="5" t="n"/>
      <c r="L34" s="7" t="n"/>
    </row>
    <row r="35">
      <c r="D35" s="12" t="n"/>
      <c r="E35" s="5" t="n"/>
      <c r="F35" s="5" t="n"/>
      <c r="G35" s="5" t="n"/>
      <c r="H35" s="5" t="n"/>
      <c r="I35" s="5" t="n"/>
      <c r="J35" s="7" t="n"/>
      <c r="K35" s="5" t="n"/>
      <c r="L35" s="7" t="n"/>
    </row>
    <row r="36">
      <c r="D36" s="12" t="n"/>
      <c r="E36" s="5" t="n"/>
      <c r="F36" s="5" t="n"/>
      <c r="G36" s="5" t="n"/>
      <c r="H36" s="5" t="n"/>
      <c r="I36" s="5" t="n"/>
      <c r="J36" s="7" t="n"/>
      <c r="K36" s="5" t="n"/>
      <c r="L36" s="7" t="n"/>
    </row>
    <row r="37">
      <c r="D37" s="12" t="n"/>
      <c r="E37" s="5" t="n"/>
      <c r="F37" s="5" t="n"/>
      <c r="G37" s="5" t="n"/>
      <c r="H37" s="5" t="n"/>
      <c r="I37" s="5" t="n"/>
      <c r="J37" s="7" t="n"/>
      <c r="K37" s="5" t="n"/>
      <c r="L37" s="7" t="n"/>
    </row>
    <row r="38">
      <c r="D38" s="12" t="n"/>
      <c r="E38" s="5" t="n"/>
      <c r="F38" s="5" t="n"/>
      <c r="G38" s="5" t="n"/>
      <c r="H38" s="5" t="n"/>
      <c r="I38" s="5" t="n"/>
      <c r="J38" s="7" t="n"/>
      <c r="K38" s="5" t="n"/>
      <c r="L38" s="7" t="n"/>
    </row>
    <row r="39">
      <c r="D39" s="12" t="n"/>
      <c r="E39" s="5" t="n"/>
      <c r="F39" s="5" t="n"/>
      <c r="G39" s="5" t="n"/>
      <c r="H39" s="5" t="n"/>
      <c r="I39" s="5" t="n"/>
      <c r="J39" s="7" t="n"/>
      <c r="K39" s="5" t="n"/>
      <c r="L39" s="7" t="n"/>
    </row>
    <row r="40">
      <c r="D40" s="12" t="n"/>
      <c r="E40" s="5" t="n"/>
      <c r="F40" s="5" t="n"/>
      <c r="G40" s="5" t="n"/>
      <c r="H40" s="5" t="n"/>
      <c r="I40" s="5" t="n"/>
      <c r="J40" s="7" t="n"/>
      <c r="K40" s="5" t="n"/>
      <c r="L40" s="7" t="n"/>
    </row>
    <row r="41">
      <c r="D41" s="12" t="n"/>
      <c r="E41" s="5" t="n"/>
      <c r="F41" s="5" t="n"/>
      <c r="G41" s="5" t="n"/>
      <c r="H41" s="5" t="n"/>
      <c r="I41" s="5" t="n"/>
      <c r="J41" s="7" t="n"/>
      <c r="K41" s="5" t="n"/>
      <c r="L41" s="7" t="n"/>
    </row>
    <row r="42">
      <c r="D42" s="12" t="n"/>
      <c r="E42" s="5" t="n"/>
      <c r="F42" s="5" t="n"/>
      <c r="G42" s="5" t="n"/>
      <c r="H42" s="5" t="n"/>
      <c r="I42" s="5" t="n"/>
      <c r="J42" s="7" t="n"/>
      <c r="K42" s="5" t="n"/>
      <c r="L42" s="7" t="n"/>
    </row>
    <row r="43">
      <c r="D43" s="12" t="n"/>
      <c r="E43" s="5" t="n"/>
      <c r="F43" s="5" t="n"/>
      <c r="G43" s="5" t="n"/>
      <c r="H43" s="5" t="n"/>
      <c r="I43" s="5" t="n"/>
      <c r="J43" s="7" t="n"/>
      <c r="K43" s="5" t="n"/>
      <c r="L43" s="7" t="n"/>
    </row>
    <row r="44">
      <c r="D44" s="12" t="n"/>
      <c r="E44" s="5" t="n"/>
      <c r="F44" s="5" t="n"/>
      <c r="G44" s="5" t="n"/>
      <c r="H44" s="5" t="n"/>
      <c r="I44" s="5" t="n"/>
      <c r="J44" s="7" t="n"/>
      <c r="K44" s="5" t="n"/>
      <c r="L44" s="7" t="n"/>
    </row>
    <row r="45">
      <c r="D45" s="12" t="n"/>
      <c r="E45" s="5" t="n"/>
      <c r="F45" s="5" t="n"/>
      <c r="G45" s="5" t="n"/>
      <c r="H45" s="5" t="n"/>
      <c r="I45" s="5" t="n"/>
      <c r="J45" s="7" t="n"/>
      <c r="K45" s="5" t="n"/>
      <c r="L45" s="7" t="n"/>
    </row>
    <row r="46">
      <c r="D46" s="12" t="n"/>
      <c r="E46" s="5" t="n"/>
      <c r="F46" s="5" t="n"/>
      <c r="G46" s="5" t="n"/>
      <c r="H46" s="5" t="n"/>
      <c r="I46" s="5" t="n"/>
      <c r="J46" s="7" t="n"/>
      <c r="K46" s="5" t="n"/>
      <c r="L46" s="7" t="n"/>
    </row>
    <row r="47">
      <c r="D47" s="12" t="n"/>
      <c r="E47" s="5" t="n"/>
      <c r="F47" s="5" t="n"/>
      <c r="G47" s="5" t="n"/>
      <c r="H47" s="5" t="n"/>
      <c r="I47" s="5" t="n"/>
      <c r="J47" s="7" t="n"/>
      <c r="K47" s="5" t="n"/>
      <c r="L47" s="7" t="n"/>
    </row>
    <row r="48">
      <c r="D48" s="12" t="n"/>
      <c r="E48" s="5" t="n"/>
      <c r="F48" s="5" t="n"/>
      <c r="G48" s="5" t="n"/>
      <c r="H48" s="5" t="n"/>
      <c r="I48" s="5" t="n"/>
      <c r="J48" s="7" t="n"/>
      <c r="K48" s="5" t="n"/>
      <c r="L48" s="7" t="n"/>
    </row>
    <row r="49">
      <c r="D49" s="12" t="n"/>
      <c r="E49" s="5" t="n"/>
      <c r="F49" s="5" t="n"/>
      <c r="G49" s="5" t="n"/>
      <c r="H49" s="5" t="n"/>
      <c r="I49" s="5" t="n"/>
      <c r="J49" s="7" t="n"/>
      <c r="K49" s="5" t="n"/>
      <c r="L49" s="7" t="n"/>
    </row>
    <row r="50">
      <c r="D50" s="12" t="n"/>
      <c r="E50" s="5" t="n"/>
      <c r="F50" s="5" t="n"/>
      <c r="G50" s="5" t="n"/>
      <c r="H50" s="5" t="n"/>
      <c r="I50" s="5" t="n"/>
      <c r="J50" s="7" t="n"/>
      <c r="K50" s="5" t="n"/>
      <c r="L50" s="7" t="n"/>
    </row>
    <row r="51">
      <c r="D51" s="12" t="n"/>
      <c r="E51" s="5" t="n"/>
      <c r="F51" s="5" t="n"/>
      <c r="G51" s="5" t="n"/>
      <c r="H51" s="5" t="n"/>
      <c r="I51" s="5" t="n"/>
      <c r="J51" s="7" t="n"/>
      <c r="K51" s="5" t="n"/>
      <c r="L51" s="7" t="n"/>
    </row>
    <row r="52">
      <c r="D52" s="12" t="n"/>
      <c r="E52" s="5" t="n"/>
      <c r="F52" s="5" t="n"/>
      <c r="G52" s="5" t="n"/>
      <c r="H52" s="5" t="n"/>
      <c r="I52" s="5" t="n"/>
      <c r="J52" s="7" t="n"/>
      <c r="K52" s="5" t="n"/>
      <c r="L52" s="7" t="n"/>
    </row>
    <row r="53">
      <c r="D53" s="12" t="n"/>
      <c r="E53" s="5" t="n"/>
      <c r="F53" s="5" t="n"/>
      <c r="G53" s="5" t="n"/>
      <c r="H53" s="5" t="n"/>
      <c r="I53" s="5" t="n"/>
      <c r="J53" s="7" t="n"/>
      <c r="K53" s="5" t="n"/>
      <c r="L53" s="7" t="n"/>
    </row>
    <row r="54">
      <c r="D54" s="12" t="n"/>
      <c r="E54" s="5" t="n"/>
      <c r="F54" s="5" t="n"/>
      <c r="G54" s="5" t="n"/>
      <c r="H54" s="5" t="n"/>
      <c r="I54" s="5" t="n"/>
      <c r="J54" s="7" t="n"/>
      <c r="K54" s="5" t="n"/>
      <c r="L54" s="7" t="n"/>
    </row>
    <row r="55">
      <c r="D55" s="12" t="n"/>
      <c r="E55" s="5" t="n"/>
      <c r="F55" s="5" t="n"/>
      <c r="G55" s="5" t="n"/>
      <c r="H55" s="5" t="n"/>
      <c r="I55" s="5" t="n"/>
      <c r="J55" s="7" t="n"/>
      <c r="K55" s="5" t="n"/>
      <c r="L55" s="7" t="n"/>
    </row>
    <row r="56">
      <c r="D56" s="12" t="n"/>
      <c r="E56" s="5" t="n"/>
      <c r="F56" s="5" t="n"/>
      <c r="G56" s="5" t="n"/>
      <c r="H56" s="5" t="n"/>
      <c r="I56" s="5" t="n"/>
      <c r="J56" s="7" t="n"/>
      <c r="K56" s="5" t="n"/>
      <c r="L56" s="7" t="n"/>
    </row>
    <row r="57">
      <c r="D57" s="12" t="n"/>
      <c r="E57" s="5" t="n"/>
      <c r="F57" s="5" t="n"/>
      <c r="G57" s="5" t="n"/>
      <c r="H57" s="5" t="n"/>
      <c r="I57" s="5" t="n"/>
      <c r="J57" s="7" t="n"/>
      <c r="K57" s="5" t="n"/>
      <c r="L57" s="7" t="n"/>
    </row>
    <row r="58">
      <c r="D58" s="12" t="n"/>
      <c r="E58" s="5" t="n"/>
      <c r="F58" s="5" t="n"/>
      <c r="G58" s="5" t="n"/>
      <c r="H58" s="5" t="n"/>
      <c r="I58" s="5" t="n"/>
      <c r="J58" s="7" t="n"/>
      <c r="K58" s="5" t="n"/>
      <c r="L58" s="7" t="n"/>
    </row>
    <row r="59">
      <c r="D59" s="12" t="n"/>
      <c r="E59" s="5" t="n"/>
      <c r="F59" s="5" t="n"/>
      <c r="G59" s="5" t="n"/>
      <c r="H59" s="5" t="n"/>
      <c r="I59" s="5" t="n"/>
      <c r="J59" s="7" t="n"/>
      <c r="K59" s="5" t="n"/>
      <c r="L59" s="7" t="n"/>
    </row>
    <row r="60">
      <c r="D60" s="12" t="n"/>
      <c r="E60" s="5" t="n"/>
      <c r="F60" s="5" t="n"/>
      <c r="G60" s="5" t="n"/>
      <c r="H60" s="5" t="n"/>
      <c r="I60" s="5" t="n"/>
      <c r="J60" s="7" t="n"/>
      <c r="K60" s="5" t="n"/>
      <c r="L60" s="7" t="n"/>
    </row>
    <row r="61">
      <c r="D61" s="12" t="n"/>
      <c r="E61" s="5" t="n"/>
      <c r="F61" s="5" t="n"/>
      <c r="G61" s="5" t="n"/>
      <c r="H61" s="5" t="n"/>
      <c r="I61" s="5" t="n"/>
      <c r="J61" s="7" t="n"/>
      <c r="K61" s="5" t="n"/>
      <c r="L61" s="7" t="n"/>
    </row>
    <row r="62">
      <c r="D62" s="12" t="n"/>
      <c r="E62" s="5" t="n"/>
      <c r="F62" s="5" t="n"/>
      <c r="G62" s="5" t="n"/>
      <c r="H62" s="5" t="n"/>
      <c r="I62" s="5" t="n"/>
      <c r="J62" s="7" t="n"/>
      <c r="K62" s="5" t="n"/>
      <c r="L62" s="7" t="n"/>
    </row>
    <row r="63">
      <c r="D63" s="12" t="n"/>
      <c r="E63" s="5" t="n"/>
      <c r="F63" s="5" t="n"/>
      <c r="G63" s="5" t="n"/>
      <c r="H63" s="5" t="n"/>
      <c r="I63" s="5" t="n"/>
      <c r="J63" s="7" t="n"/>
      <c r="K63" s="5" t="n"/>
      <c r="L63" s="7" t="n"/>
    </row>
    <row r="64">
      <c r="D64" s="12" t="n"/>
      <c r="E64" s="5" t="n"/>
      <c r="F64" s="5" t="n"/>
      <c r="G64" s="5" t="n"/>
      <c r="H64" s="5" t="n"/>
      <c r="I64" s="5" t="n"/>
      <c r="J64" s="7" t="n"/>
      <c r="K64" s="5" t="n"/>
      <c r="L64" s="7" t="n"/>
    </row>
    <row r="65">
      <c r="D65" s="12" t="n"/>
      <c r="E65" s="5" t="n"/>
      <c r="F65" s="5" t="n"/>
      <c r="G65" s="5" t="n"/>
      <c r="H65" s="5" t="n"/>
      <c r="I65" s="5" t="n"/>
      <c r="J65" s="7" t="n"/>
      <c r="K65" s="5" t="n"/>
      <c r="L65" s="7" t="n"/>
    </row>
    <row r="66">
      <c r="D66" s="12" t="n"/>
      <c r="E66" s="5" t="n"/>
      <c r="F66" s="5" t="n"/>
      <c r="G66" s="5" t="n"/>
      <c r="H66" s="5" t="n"/>
      <c r="I66" s="5" t="n"/>
      <c r="J66" s="7" t="n"/>
      <c r="K66" s="5" t="n"/>
      <c r="L66" s="7" t="n"/>
    </row>
    <row r="67">
      <c r="D67" s="12" t="n"/>
      <c r="E67" s="5" t="n"/>
      <c r="F67" s="5" t="n"/>
      <c r="G67" s="5" t="n"/>
      <c r="H67" s="5" t="n"/>
      <c r="I67" s="5" t="n"/>
      <c r="J67" s="7" t="n"/>
      <c r="K67" s="5" t="n"/>
      <c r="L67" s="7" t="n"/>
    </row>
    <row r="68">
      <c r="D68" s="12" t="n"/>
      <c r="E68" s="5" t="n"/>
      <c r="F68" s="5" t="n"/>
      <c r="G68" s="5" t="n"/>
      <c r="H68" s="5" t="n"/>
      <c r="I68" s="5" t="n"/>
      <c r="J68" s="7" t="n"/>
      <c r="K68" s="5" t="n"/>
      <c r="L68" s="7" t="n"/>
    </row>
    <row r="69">
      <c r="D69" s="12" t="n"/>
      <c r="E69" s="5" t="n"/>
      <c r="F69" s="5" t="n"/>
      <c r="G69" s="5" t="n"/>
      <c r="H69" s="5" t="n"/>
      <c r="I69" s="5" t="n"/>
      <c r="J69" s="7" t="n"/>
      <c r="K69" s="5" t="n"/>
      <c r="L69" s="7" t="n"/>
    </row>
    <row r="70">
      <c r="D70" s="12" t="n"/>
      <c r="E70" s="5" t="n"/>
      <c r="F70" s="5" t="n"/>
      <c r="G70" s="5" t="n"/>
      <c r="H70" s="5" t="n"/>
      <c r="I70" s="5" t="n"/>
      <c r="J70" s="7" t="n"/>
      <c r="K70" s="5" t="n"/>
      <c r="L70" s="7" t="n"/>
    </row>
    <row r="71">
      <c r="D71" s="12" t="n"/>
      <c r="E71" s="5" t="n"/>
      <c r="F71" s="5" t="n"/>
      <c r="G71" s="5" t="n"/>
      <c r="H71" s="5" t="n"/>
      <c r="I71" s="5" t="n"/>
      <c r="J71" s="7" t="n"/>
      <c r="K71" s="5" t="n"/>
      <c r="L71" s="7" t="n"/>
    </row>
    <row r="72">
      <c r="D72" s="12" t="n"/>
      <c r="E72" s="5" t="n"/>
      <c r="F72" s="5" t="n"/>
      <c r="G72" s="5" t="n"/>
      <c r="H72" s="5" t="n"/>
      <c r="I72" s="5" t="n"/>
      <c r="J72" s="7" t="n"/>
      <c r="K72" s="5" t="n"/>
      <c r="L72" s="7" t="n"/>
    </row>
    <row r="73">
      <c r="D73" s="12" t="n"/>
      <c r="E73" s="5" t="n"/>
      <c r="F73" s="5" t="n"/>
      <c r="G73" s="5" t="n"/>
      <c r="H73" s="5" t="n"/>
      <c r="I73" s="5" t="n"/>
      <c r="J73" s="7" t="n"/>
      <c r="K73" s="5" t="n"/>
      <c r="L73" s="7" t="n"/>
    </row>
    <row r="74">
      <c r="D74" s="12" t="n"/>
      <c r="E74" s="5" t="n"/>
      <c r="F74" s="5" t="n"/>
      <c r="G74" s="5" t="n"/>
      <c r="H74" s="5" t="n"/>
      <c r="I74" s="5" t="n"/>
      <c r="J74" s="7" t="n"/>
      <c r="K74" s="5" t="n"/>
      <c r="L74" s="7" t="n"/>
    </row>
    <row r="75">
      <c r="D75" s="12" t="n"/>
      <c r="E75" s="5" t="n"/>
      <c r="F75" s="5" t="n"/>
      <c r="G75" s="5" t="n"/>
      <c r="H75" s="5" t="n"/>
      <c r="I75" s="5" t="n"/>
      <c r="J75" s="7" t="n"/>
      <c r="K75" s="5" t="n"/>
      <c r="L75" s="7" t="n"/>
    </row>
    <row r="76">
      <c r="D76" s="12" t="n"/>
      <c r="E76" s="5" t="n"/>
      <c r="F76" s="5" t="n"/>
      <c r="G76" s="5" t="n"/>
      <c r="H76" s="5" t="n"/>
      <c r="I76" s="5" t="n"/>
      <c r="J76" s="7" t="n"/>
      <c r="K76" s="5" t="n"/>
      <c r="L76" s="7" t="n"/>
    </row>
    <row r="77">
      <c r="D77" s="12" t="n"/>
      <c r="E77" s="5" t="n"/>
      <c r="F77" s="5" t="n"/>
      <c r="G77" s="5" t="n"/>
      <c r="H77" s="5" t="n"/>
      <c r="I77" s="5" t="n"/>
      <c r="J77" s="7" t="n"/>
      <c r="K77" s="5" t="n"/>
      <c r="L77" s="7" t="n"/>
    </row>
    <row r="78">
      <c r="D78" s="12" t="n"/>
      <c r="E78" s="5" t="n"/>
      <c r="F78" s="5" t="n"/>
      <c r="G78" s="5" t="n"/>
      <c r="H78" s="5" t="n"/>
      <c r="I78" s="5" t="n"/>
      <c r="J78" s="7" t="n"/>
      <c r="K78" s="5" t="n"/>
      <c r="L78" s="7" t="n"/>
    </row>
    <row r="79">
      <c r="D79" s="12" t="n"/>
      <c r="E79" s="5" t="n"/>
      <c r="F79" s="5" t="n"/>
      <c r="G79" s="5" t="n"/>
      <c r="H79" s="5" t="n"/>
      <c r="I79" s="5" t="n"/>
      <c r="J79" s="7" t="n"/>
      <c r="K79" s="5" t="n"/>
      <c r="L79" s="7" t="n"/>
    </row>
    <row r="80">
      <c r="D80" s="12" t="n"/>
      <c r="E80" s="5" t="n"/>
      <c r="F80" s="5" t="n"/>
      <c r="G80" s="5" t="n"/>
      <c r="H80" s="5" t="n"/>
      <c r="I80" s="5" t="n"/>
      <c r="J80" s="7" t="n"/>
      <c r="K80" s="5" t="n"/>
      <c r="L80" s="7" t="n"/>
    </row>
    <row r="81">
      <c r="D81" s="12" t="n"/>
      <c r="E81" s="5" t="n"/>
      <c r="F81" s="5" t="n"/>
      <c r="G81" s="5" t="n"/>
      <c r="H81" s="5" t="n"/>
      <c r="I81" s="5" t="n"/>
      <c r="J81" s="7" t="n"/>
      <c r="K81" s="5" t="n"/>
      <c r="L81" s="7" t="n"/>
    </row>
    <row r="82">
      <c r="D82" s="12" t="n"/>
      <c r="E82" s="5" t="n"/>
      <c r="F82" s="5" t="n"/>
      <c r="G82" s="5" t="n"/>
      <c r="H82" s="5" t="n"/>
      <c r="I82" s="5" t="n"/>
      <c r="J82" s="7" t="n"/>
      <c r="K82" s="5" t="n"/>
      <c r="L82" s="7" t="n"/>
    </row>
    <row r="83">
      <c r="D83" s="12" t="n"/>
      <c r="E83" s="5" t="n"/>
      <c r="F83" s="5" t="n"/>
      <c r="G83" s="5" t="n"/>
      <c r="H83" s="5" t="n"/>
      <c r="I83" s="5" t="n"/>
      <c r="J83" s="7" t="n"/>
      <c r="K83" s="5" t="n"/>
      <c r="L83" s="7" t="n"/>
    </row>
    <row r="84">
      <c r="D84" s="12" t="n"/>
      <c r="E84" s="5" t="n"/>
      <c r="F84" s="5" t="n"/>
      <c r="G84" s="5" t="n"/>
      <c r="H84" s="5" t="n"/>
      <c r="I84" s="5" t="n"/>
      <c r="J84" s="7" t="n"/>
      <c r="K84" s="5" t="n"/>
      <c r="L84" s="7" t="n"/>
    </row>
    <row r="85">
      <c r="D85" s="12" t="n"/>
      <c r="E85" s="5" t="n"/>
      <c r="F85" s="5" t="n"/>
      <c r="G85" s="5" t="n"/>
      <c r="H85" s="5" t="n"/>
      <c r="I85" s="5" t="n"/>
      <c r="J85" s="7" t="n"/>
      <c r="K85" s="5" t="n"/>
      <c r="L85" s="7" t="n"/>
    </row>
    <row r="86">
      <c r="D86" s="12" t="n"/>
      <c r="E86" s="5" t="n"/>
      <c r="F86" s="5" t="n"/>
      <c r="G86" s="5" t="n"/>
      <c r="H86" s="5" t="n"/>
      <c r="I86" s="5" t="n"/>
      <c r="J86" s="7" t="n"/>
      <c r="K86" s="5" t="n"/>
      <c r="L86" s="7" t="n"/>
    </row>
    <row r="87">
      <c r="D87" s="12" t="n"/>
      <c r="E87" s="5" t="n"/>
      <c r="F87" s="5" t="n"/>
      <c r="G87" s="5" t="n"/>
      <c r="H87" s="5" t="n"/>
      <c r="I87" s="5" t="n"/>
      <c r="J87" s="7" t="n"/>
      <c r="K87" s="5" t="n"/>
      <c r="L87" s="7" t="n"/>
    </row>
    <row r="88">
      <c r="D88" s="12" t="n"/>
      <c r="E88" s="5" t="n"/>
      <c r="F88" s="5" t="n"/>
      <c r="G88" s="5" t="n"/>
      <c r="H88" s="5" t="n"/>
      <c r="I88" s="5" t="n"/>
      <c r="J88" s="7" t="n"/>
      <c r="K88" s="5" t="n"/>
      <c r="L88" s="7" t="n"/>
    </row>
    <row r="89">
      <c r="D89" s="12" t="n"/>
      <c r="E89" s="5" t="n"/>
      <c r="F89" s="5" t="n"/>
      <c r="G89" s="5" t="n"/>
      <c r="H89" s="5" t="n"/>
      <c r="I89" s="5" t="n"/>
      <c r="J89" s="7" t="n"/>
      <c r="K89" s="5" t="n"/>
      <c r="L89" s="7" t="n"/>
    </row>
    <row r="90">
      <c r="D90" s="12" t="n"/>
      <c r="E90" s="5" t="n"/>
      <c r="F90" s="5" t="n"/>
      <c r="G90" s="5" t="n"/>
      <c r="H90" s="5" t="n"/>
      <c r="I90" s="5" t="n"/>
      <c r="J90" s="7" t="n"/>
      <c r="K90" s="5" t="n"/>
      <c r="L90" s="7" t="n"/>
    </row>
    <row r="91">
      <c r="D91" s="12" t="n"/>
      <c r="E91" s="5" t="n"/>
      <c r="F91" s="5" t="n"/>
      <c r="G91" s="5" t="n"/>
      <c r="H91" s="5" t="n"/>
      <c r="I91" s="5" t="n"/>
      <c r="J91" s="7" t="n"/>
      <c r="K91" s="5" t="n"/>
      <c r="L91" s="7" t="n"/>
    </row>
    <row r="92">
      <c r="D92" s="12" t="n"/>
      <c r="E92" s="5" t="n"/>
      <c r="F92" s="5" t="n"/>
      <c r="G92" s="5" t="n"/>
      <c r="H92" s="5" t="n"/>
      <c r="I92" s="5" t="n"/>
      <c r="J92" s="7" t="n"/>
      <c r="K92" s="5" t="n"/>
      <c r="L92" s="7" t="n"/>
    </row>
    <row r="93">
      <c r="D93" s="12" t="n"/>
      <c r="E93" s="5" t="n"/>
      <c r="F93" s="5" t="n"/>
      <c r="G93" s="5" t="n"/>
      <c r="H93" s="5" t="n"/>
      <c r="I93" s="5" t="n"/>
      <c r="J93" s="7" t="n"/>
      <c r="K93" s="5" t="n"/>
      <c r="L93" s="7" t="n"/>
    </row>
    <row r="94">
      <c r="D94" s="12" t="n"/>
      <c r="E94" s="5" t="n"/>
      <c r="F94" s="5" t="n"/>
      <c r="G94" s="5" t="n"/>
      <c r="H94" s="5" t="n"/>
      <c r="I94" s="5" t="n"/>
      <c r="J94" s="7" t="n"/>
      <c r="K94" s="5" t="n"/>
      <c r="L94" s="7" t="n"/>
    </row>
    <row r="95">
      <c r="D95" s="12" t="n"/>
      <c r="E95" s="5" t="n"/>
      <c r="F95" s="5" t="n"/>
      <c r="G95" s="5" t="n"/>
      <c r="H95" s="5" t="n"/>
      <c r="I95" s="5" t="n"/>
      <c r="J95" s="7" t="n"/>
      <c r="K95" s="5" t="n"/>
      <c r="L95" s="7" t="n"/>
    </row>
    <row r="96">
      <c r="D96" s="12" t="n"/>
      <c r="E96" s="5" t="n"/>
      <c r="F96" s="5" t="n"/>
      <c r="G96" s="5" t="n"/>
      <c r="H96" s="5" t="n"/>
      <c r="I96" s="5" t="n"/>
      <c r="J96" s="7" t="n"/>
      <c r="K96" s="5" t="n"/>
      <c r="L96" s="7" t="n"/>
    </row>
    <row r="97">
      <c r="D97" s="12" t="n"/>
      <c r="E97" s="5" t="n"/>
      <c r="F97" s="5" t="n"/>
      <c r="G97" s="5" t="n"/>
      <c r="H97" s="5" t="n"/>
      <c r="I97" s="5" t="n"/>
      <c r="J97" s="7" t="n"/>
      <c r="K97" s="5" t="n"/>
      <c r="L97" s="7" t="n"/>
    </row>
    <row r="98">
      <c r="D98" s="12" t="n"/>
      <c r="E98" s="5" t="n"/>
      <c r="F98" s="5" t="n"/>
      <c r="G98" s="5" t="n"/>
      <c r="H98" s="5" t="n"/>
      <c r="I98" s="5" t="n"/>
      <c r="J98" s="7" t="n"/>
      <c r="K98" s="5" t="n"/>
      <c r="L98" s="7" t="n"/>
    </row>
    <row r="99">
      <c r="D99" s="12" t="n"/>
      <c r="E99" s="5" t="n"/>
      <c r="F99" s="5" t="n"/>
      <c r="G99" s="5" t="n"/>
      <c r="H99" s="5" t="n"/>
      <c r="I99" s="5" t="n"/>
      <c r="J99" s="7" t="n"/>
      <c r="K99" s="5" t="n"/>
      <c r="L99" s="7" t="n"/>
    </row>
    <row r="100">
      <c r="D100" s="12" t="n"/>
      <c r="E100" s="5" t="n"/>
      <c r="F100" s="5" t="n"/>
      <c r="G100" s="5" t="n"/>
      <c r="H100" s="5" t="n"/>
      <c r="I100" s="5" t="n"/>
      <c r="J100" s="7" t="n"/>
      <c r="K100" s="5" t="n"/>
      <c r="L100" s="7" t="n"/>
    </row>
    <row r="101">
      <c r="D101" s="12" t="n"/>
      <c r="E101" s="5" t="n"/>
      <c r="F101" s="5" t="n"/>
      <c r="G101" s="5" t="n"/>
      <c r="H101" s="5" t="n"/>
      <c r="I101" s="5" t="n"/>
      <c r="J101" s="7" t="n"/>
      <c r="K101" s="5" t="n"/>
      <c r="L101" s="7" t="n"/>
    </row>
    <row r="102">
      <c r="D102" s="12" t="n"/>
      <c r="E102" s="5" t="n"/>
      <c r="F102" s="5" t="n"/>
      <c r="G102" s="5" t="n"/>
      <c r="H102" s="5" t="n"/>
      <c r="I102" s="5" t="n"/>
      <c r="J102" s="7" t="n"/>
      <c r="K102" s="5" t="n"/>
      <c r="L102" s="7" t="n"/>
    </row>
    <row r="103">
      <c r="D103" s="12" t="n"/>
      <c r="E103" s="5" t="n"/>
      <c r="F103" s="5" t="n"/>
      <c r="G103" s="5" t="n"/>
      <c r="H103" s="5" t="n"/>
      <c r="I103" s="5" t="n"/>
      <c r="J103" s="7" t="n"/>
      <c r="K103" s="5" t="n"/>
      <c r="L103" s="7" t="n"/>
    </row>
    <row r="104">
      <c r="D104" s="12" t="n"/>
      <c r="E104" s="5" t="n"/>
      <c r="F104" s="5" t="n"/>
      <c r="G104" s="5" t="n"/>
      <c r="H104" s="5" t="n"/>
      <c r="I104" s="5" t="n"/>
      <c r="J104" s="7" t="n"/>
      <c r="K104" s="5" t="n"/>
      <c r="L104" s="7" t="n"/>
    </row>
    <row r="105">
      <c r="D105" s="12" t="n"/>
      <c r="E105" s="5" t="n"/>
      <c r="F105" s="5" t="n"/>
      <c r="G105" s="5" t="n"/>
      <c r="H105" s="5" t="n"/>
      <c r="I105" s="5" t="n"/>
      <c r="J105" s="7" t="n"/>
      <c r="K105" s="5" t="n"/>
      <c r="L105" s="7" t="n"/>
    </row>
    <row r="106">
      <c r="D106" s="12" t="n"/>
      <c r="E106" s="5" t="n"/>
      <c r="F106" s="5" t="n"/>
      <c r="G106" s="5" t="n"/>
      <c r="H106" s="5" t="n"/>
      <c r="I106" s="5" t="n"/>
      <c r="J106" s="7" t="n"/>
      <c r="K106" s="5" t="n"/>
      <c r="L106" s="7" t="n"/>
    </row>
    <row r="107">
      <c r="D107" s="12" t="n"/>
      <c r="E107" s="5" t="n"/>
      <c r="F107" s="5" t="n"/>
      <c r="G107" s="5" t="n"/>
      <c r="H107" s="5" t="n"/>
      <c r="I107" s="5" t="n"/>
      <c r="J107" s="7" t="n"/>
      <c r="K107" s="5" t="n"/>
      <c r="L107" s="7" t="n"/>
    </row>
    <row r="108">
      <c r="D108" s="12" t="n"/>
      <c r="E108" s="5" t="n"/>
      <c r="F108" s="5" t="n"/>
      <c r="G108" s="5" t="n"/>
      <c r="H108" s="5" t="n"/>
      <c r="I108" s="5" t="n"/>
      <c r="J108" s="7" t="n"/>
      <c r="K108" s="5" t="n"/>
      <c r="L108" s="7" t="n"/>
    </row>
    <row r="109">
      <c r="D109" s="12" t="n"/>
      <c r="E109" s="5" t="n"/>
      <c r="F109" s="5" t="n"/>
      <c r="G109" s="5" t="n"/>
      <c r="H109" s="5" t="n"/>
      <c r="I109" s="5" t="n"/>
      <c r="J109" s="7" t="n"/>
      <c r="K109" s="5" t="n"/>
      <c r="L109" s="7" t="n"/>
    </row>
    <row r="110">
      <c r="D110" s="12" t="n"/>
      <c r="E110" s="5" t="n"/>
      <c r="F110" s="5" t="n"/>
      <c r="G110" s="5" t="n"/>
      <c r="H110" s="5" t="n"/>
      <c r="I110" s="5" t="n"/>
      <c r="J110" s="7" t="n"/>
      <c r="K110" s="5" t="n"/>
      <c r="L110" s="7" t="n"/>
    </row>
    <row r="111">
      <c r="D111" s="12" t="n"/>
      <c r="E111" s="5" t="n"/>
      <c r="F111" s="5" t="n"/>
      <c r="G111" s="5" t="n"/>
      <c r="H111" s="5" t="n"/>
      <c r="I111" s="5" t="n"/>
      <c r="J111" s="7" t="n"/>
      <c r="K111" s="5" t="n"/>
      <c r="L111" s="7" t="n"/>
    </row>
    <row r="112">
      <c r="D112" s="12" t="n"/>
      <c r="E112" s="5" t="n"/>
      <c r="F112" s="5" t="n"/>
      <c r="G112" s="5" t="n"/>
      <c r="H112" s="5" t="n"/>
      <c r="I112" s="5" t="n"/>
      <c r="J112" s="7" t="n"/>
      <c r="K112" s="5" t="n"/>
      <c r="L112" s="7" t="n"/>
    </row>
    <row r="113">
      <c r="D113" s="12" t="n"/>
      <c r="E113" s="5" t="n"/>
      <c r="F113" s="5" t="n"/>
      <c r="G113" s="5" t="n"/>
      <c r="H113" s="5" t="n"/>
      <c r="I113" s="5" t="n"/>
      <c r="J113" s="7" t="n"/>
      <c r="K113" s="5" t="n"/>
      <c r="L113" s="7" t="n"/>
    </row>
    <row r="114">
      <c r="D114" s="12" t="n"/>
      <c r="E114" s="5" t="n"/>
      <c r="F114" s="5" t="n"/>
      <c r="G114" s="5" t="n"/>
      <c r="H114" s="5" t="n"/>
      <c r="I114" s="5" t="n"/>
      <c r="J114" s="7" t="n"/>
      <c r="K114" s="5" t="n"/>
      <c r="L114" s="7" t="n"/>
    </row>
    <row r="115">
      <c r="D115" s="12" t="n"/>
      <c r="E115" s="5" t="n"/>
      <c r="F115" s="5" t="n"/>
      <c r="G115" s="5" t="n"/>
      <c r="H115" s="5" t="n"/>
      <c r="I115" s="5" t="n"/>
      <c r="J115" s="7" t="n"/>
      <c r="K115" s="5" t="n"/>
      <c r="L115" s="7" t="n"/>
    </row>
    <row r="116">
      <c r="D116" s="12" t="n"/>
      <c r="E116" s="5" t="n"/>
      <c r="F116" s="5" t="n"/>
      <c r="G116" s="5" t="n"/>
      <c r="H116" s="5" t="n"/>
      <c r="I116" s="5" t="n"/>
      <c r="J116" s="7" t="n"/>
      <c r="K116" s="5" t="n"/>
      <c r="L116" s="7" t="n"/>
    </row>
    <row r="117">
      <c r="D117" s="12" t="n"/>
      <c r="E117" s="5" t="n"/>
      <c r="F117" s="5" t="n"/>
      <c r="G117" s="5" t="n"/>
      <c r="H117" s="5" t="n"/>
      <c r="I117" s="5" t="n"/>
      <c r="J117" s="7" t="n"/>
      <c r="K117" s="5" t="n"/>
      <c r="L117" s="7" t="n"/>
    </row>
    <row r="118">
      <c r="D118" s="12" t="n"/>
      <c r="E118" s="5" t="n"/>
      <c r="F118" s="5" t="n"/>
      <c r="G118" s="5" t="n"/>
      <c r="H118" s="5" t="n"/>
      <c r="I118" s="5" t="n"/>
      <c r="J118" s="7" t="n"/>
      <c r="K118" s="5" t="n"/>
      <c r="L118" s="7" t="n"/>
    </row>
    <row r="119">
      <c r="D119" s="12" t="n"/>
      <c r="E119" s="5" t="n"/>
      <c r="F119" s="5" t="n"/>
      <c r="G119" s="5" t="n"/>
      <c r="H119" s="5" t="n"/>
      <c r="I119" s="5" t="n"/>
      <c r="J119" s="7" t="n"/>
      <c r="K119" s="5" t="n"/>
      <c r="L119" s="7" t="n"/>
    </row>
    <row r="120">
      <c r="D120" s="12" t="n"/>
      <c r="E120" s="5" t="n"/>
      <c r="F120" s="5" t="n"/>
      <c r="G120" s="5" t="n"/>
      <c r="H120" s="5" t="n"/>
      <c r="I120" s="5" t="n"/>
      <c r="J120" s="7" t="n"/>
      <c r="K120" s="5" t="n"/>
      <c r="L120" s="7" t="n"/>
    </row>
    <row r="121">
      <c r="D121" s="12" t="n"/>
      <c r="E121" s="5" t="n"/>
      <c r="F121" s="5" t="n"/>
      <c r="G121" s="5" t="n"/>
      <c r="H121" s="5" t="n"/>
      <c r="I121" s="5" t="n"/>
      <c r="J121" s="7" t="n"/>
      <c r="K121" s="5" t="n"/>
      <c r="L121" s="7" t="n"/>
    </row>
    <row r="122">
      <c r="D122" s="12" t="n"/>
      <c r="E122" s="5" t="n"/>
      <c r="F122" s="5" t="n"/>
      <c r="G122" s="5" t="n"/>
      <c r="H122" s="5" t="n"/>
      <c r="I122" s="5" t="n"/>
      <c r="J122" s="7" t="n"/>
      <c r="K122" s="5" t="n"/>
      <c r="L122" s="7" t="n"/>
    </row>
    <row r="123">
      <c r="D123" s="12" t="n"/>
      <c r="E123" s="5" t="n"/>
      <c r="F123" s="5" t="n"/>
      <c r="G123" s="5" t="n"/>
      <c r="H123" s="5" t="n"/>
      <c r="I123" s="5" t="n"/>
      <c r="J123" s="7" t="n"/>
      <c r="K123" s="5" t="n"/>
      <c r="L123" s="7" t="n"/>
    </row>
    <row r="124">
      <c r="D124" s="12" t="n"/>
      <c r="E124" s="5" t="n"/>
      <c r="F124" s="5" t="n"/>
      <c r="G124" s="5" t="n"/>
      <c r="H124" s="5" t="n"/>
      <c r="I124" s="5" t="n"/>
      <c r="J124" s="7" t="n"/>
      <c r="K124" s="5" t="n"/>
      <c r="L124" s="7" t="n"/>
    </row>
    <row r="125">
      <c r="D125" s="12" t="n"/>
      <c r="E125" s="5" t="n"/>
      <c r="F125" s="5" t="n"/>
      <c r="G125" s="5" t="n"/>
      <c r="H125" s="5" t="n"/>
      <c r="I125" s="5" t="n"/>
      <c r="J125" s="7" t="n"/>
      <c r="K125" s="5" t="n"/>
      <c r="L125" s="7" t="n"/>
    </row>
    <row r="126">
      <c r="D126" s="12" t="n"/>
      <c r="E126" s="5" t="n"/>
      <c r="F126" s="5" t="n"/>
      <c r="G126" s="5" t="n"/>
      <c r="H126" s="5" t="n"/>
      <c r="I126" s="5" t="n"/>
      <c r="J126" s="7" t="n"/>
      <c r="K126" s="5" t="n"/>
      <c r="L126" s="7" t="n"/>
    </row>
    <row r="127">
      <c r="D127" s="12" t="n"/>
      <c r="E127" s="5" t="n"/>
      <c r="F127" s="5" t="n"/>
      <c r="G127" s="5" t="n"/>
      <c r="H127" s="5" t="n"/>
      <c r="I127" s="5" t="n"/>
      <c r="J127" s="7" t="n"/>
      <c r="K127" s="5" t="n"/>
      <c r="L127" s="7" t="n"/>
    </row>
    <row r="128">
      <c r="D128" s="12" t="n"/>
      <c r="E128" s="5" t="n"/>
      <c r="F128" s="5" t="n"/>
      <c r="G128" s="5" t="n"/>
      <c r="H128" s="5" t="n"/>
      <c r="I128" s="5" t="n"/>
      <c r="J128" s="7" t="n"/>
      <c r="K128" s="5" t="n"/>
      <c r="L128" s="7" t="n"/>
    </row>
    <row r="129">
      <c r="D129" s="12" t="n"/>
      <c r="E129" s="5" t="n"/>
      <c r="F129" s="5" t="n"/>
      <c r="G129" s="5" t="n"/>
      <c r="H129" s="5" t="n"/>
      <c r="I129" s="5" t="n"/>
      <c r="J129" s="7" t="n"/>
      <c r="K129" s="5" t="n"/>
      <c r="L129" s="7" t="n"/>
    </row>
    <row r="130">
      <c r="D130" s="12" t="n"/>
      <c r="E130" s="5" t="n"/>
      <c r="F130" s="5" t="n"/>
      <c r="G130" s="5" t="n"/>
      <c r="H130" s="5" t="n"/>
      <c r="I130" s="5" t="n"/>
      <c r="J130" s="7" t="n"/>
      <c r="K130" s="5" t="n"/>
      <c r="L130" s="7" t="n"/>
    </row>
    <row r="131">
      <c r="D131" s="12" t="n"/>
      <c r="E131" s="5" t="n"/>
      <c r="F131" s="5" t="n"/>
      <c r="G131" s="5" t="n"/>
      <c r="H131" s="5" t="n"/>
      <c r="I131" s="5" t="n"/>
      <c r="J131" s="7" t="n"/>
      <c r="K131" s="5" t="n"/>
      <c r="L131" s="7" t="n"/>
    </row>
    <row r="132">
      <c r="D132" s="12" t="n"/>
      <c r="E132" s="5" t="n"/>
      <c r="F132" s="5" t="n"/>
      <c r="G132" s="5" t="n"/>
      <c r="H132" s="5" t="n"/>
      <c r="I132" s="5" t="n"/>
      <c r="J132" s="7" t="n"/>
      <c r="K132" s="5" t="n"/>
      <c r="L132" s="7" t="n"/>
    </row>
    <row r="133">
      <c r="D133" s="12" t="n"/>
      <c r="E133" s="5" t="n"/>
      <c r="F133" s="5" t="n"/>
      <c r="G133" s="5" t="n"/>
      <c r="H133" s="5" t="n"/>
      <c r="I133" s="5" t="n"/>
      <c r="J133" s="7" t="n"/>
      <c r="K133" s="5" t="n"/>
      <c r="L133" s="7" t="n"/>
    </row>
    <row r="134">
      <c r="D134" s="12" t="n"/>
      <c r="E134" s="5" t="n"/>
      <c r="F134" s="5" t="n"/>
      <c r="G134" s="5" t="n"/>
      <c r="H134" s="5" t="n"/>
      <c r="I134" s="5" t="n"/>
      <c r="J134" s="7" t="n"/>
      <c r="K134" s="5" t="n"/>
      <c r="L134" s="7" t="n"/>
    </row>
    <row r="135">
      <c r="D135" s="12" t="n"/>
      <c r="E135" s="5" t="n"/>
      <c r="F135" s="5" t="n"/>
      <c r="G135" s="5" t="n"/>
      <c r="H135" s="5" t="n"/>
      <c r="I135" s="5" t="n"/>
      <c r="J135" s="7" t="n"/>
      <c r="K135" s="5" t="n"/>
      <c r="L135" s="7" t="n"/>
    </row>
    <row r="136">
      <c r="D136" s="12" t="n"/>
      <c r="E136" s="5" t="n"/>
      <c r="F136" s="5" t="n"/>
      <c r="G136" s="5" t="n"/>
      <c r="H136" s="5" t="n"/>
      <c r="I136" s="5" t="n"/>
      <c r="J136" s="7" t="n"/>
      <c r="K136" s="5" t="n"/>
      <c r="L136" s="7" t="n"/>
    </row>
    <row r="137">
      <c r="D137" s="12" t="n"/>
      <c r="E137" s="5" t="n"/>
      <c r="F137" s="5" t="n"/>
      <c r="G137" s="5" t="n"/>
      <c r="H137" s="5" t="n"/>
      <c r="I137" s="5" t="n"/>
      <c r="J137" s="7" t="n"/>
      <c r="K137" s="5" t="n"/>
      <c r="L137" s="7" t="n"/>
    </row>
    <row r="138">
      <c r="D138" s="12" t="n"/>
      <c r="E138" s="5" t="n"/>
      <c r="F138" s="5" t="n"/>
      <c r="G138" s="5" t="n"/>
      <c r="H138" s="5" t="n"/>
      <c r="I138" s="5" t="n"/>
      <c r="J138" s="7" t="n"/>
      <c r="K138" s="5" t="n"/>
      <c r="L138" s="7" t="n"/>
    </row>
    <row r="139">
      <c r="D139" s="12" t="n"/>
      <c r="E139" s="5" t="n"/>
      <c r="F139" s="5" t="n"/>
      <c r="G139" s="5" t="n"/>
      <c r="H139" s="5" t="n"/>
      <c r="I139" s="5" t="n"/>
      <c r="J139" s="7" t="n"/>
      <c r="K139" s="5" t="n"/>
      <c r="L139" s="7" t="n"/>
    </row>
    <row r="140">
      <c r="D140" s="12" t="n"/>
      <c r="E140" s="5" t="n"/>
      <c r="F140" s="5" t="n"/>
      <c r="G140" s="5" t="n"/>
      <c r="H140" s="5" t="n"/>
      <c r="I140" s="5" t="n"/>
      <c r="J140" s="7" t="n"/>
      <c r="K140" s="5" t="n"/>
      <c r="L140" s="7" t="n"/>
    </row>
    <row r="141">
      <c r="D141" s="12" t="n"/>
      <c r="E141" s="5" t="n"/>
      <c r="F141" s="5" t="n"/>
      <c r="G141" s="5" t="n"/>
      <c r="H141" s="5" t="n"/>
      <c r="I141" s="5" t="n"/>
      <c r="J141" s="7" t="n"/>
      <c r="K141" s="5" t="n"/>
      <c r="L141" s="7" t="n"/>
    </row>
    <row r="142">
      <c r="D142" s="12" t="n"/>
      <c r="E142" s="5" t="n"/>
      <c r="F142" s="5" t="n"/>
      <c r="G142" s="5" t="n"/>
      <c r="H142" s="5" t="n"/>
      <c r="I142" s="5" t="n"/>
      <c r="J142" s="7" t="n"/>
      <c r="K142" s="5" t="n"/>
      <c r="L142" s="7" t="n"/>
    </row>
    <row r="143">
      <c r="D143" s="12" t="n"/>
      <c r="E143" s="5" t="n"/>
      <c r="F143" s="5" t="n"/>
      <c r="G143" s="5" t="n"/>
      <c r="H143" s="5" t="n"/>
      <c r="I143" s="5" t="n"/>
      <c r="J143" s="7" t="n"/>
      <c r="K143" s="5" t="n"/>
      <c r="L143" s="7" t="n"/>
    </row>
    <row r="144">
      <c r="D144" s="12" t="n"/>
      <c r="E144" s="5" t="n"/>
      <c r="F144" s="5" t="n"/>
      <c r="G144" s="5" t="n"/>
      <c r="H144" s="5" t="n"/>
      <c r="I144" s="5" t="n"/>
      <c r="J144" s="7" t="n"/>
      <c r="K144" s="5" t="n"/>
      <c r="L144" s="7" t="n"/>
    </row>
    <row r="145">
      <c r="D145" s="12" t="n"/>
      <c r="E145" s="5" t="n"/>
      <c r="F145" s="5" t="n"/>
      <c r="G145" s="5" t="n"/>
      <c r="H145" s="5" t="n"/>
      <c r="I145" s="5" t="n"/>
      <c r="J145" s="7" t="n"/>
      <c r="K145" s="5" t="n"/>
      <c r="L145" s="7" t="n"/>
    </row>
    <row r="146">
      <c r="D146" s="12" t="n"/>
      <c r="E146" s="5" t="n"/>
      <c r="F146" s="5" t="n"/>
      <c r="G146" s="5" t="n"/>
      <c r="H146" s="5" t="n"/>
      <c r="I146" s="5" t="n"/>
      <c r="J146" s="7" t="n"/>
      <c r="K146" s="5" t="n"/>
      <c r="L146" s="7" t="n"/>
    </row>
    <row r="147">
      <c r="D147" s="12" t="n"/>
      <c r="E147" s="5" t="n"/>
      <c r="F147" s="5" t="n"/>
      <c r="G147" s="5" t="n"/>
      <c r="H147" s="5" t="n"/>
      <c r="I147" s="5" t="n"/>
      <c r="J147" s="7" t="n"/>
      <c r="K147" s="5" t="n"/>
      <c r="L147" s="7" t="n"/>
    </row>
    <row r="148">
      <c r="D148" s="12" t="n"/>
      <c r="E148" s="5" t="n"/>
      <c r="F148" s="5" t="n"/>
      <c r="G148" s="5" t="n"/>
      <c r="H148" s="5" t="n"/>
      <c r="I148" s="5" t="n"/>
      <c r="J148" s="7" t="n"/>
      <c r="K148" s="5" t="n"/>
      <c r="L148" s="7" t="n"/>
    </row>
    <row r="149">
      <c r="D149" s="12" t="n"/>
      <c r="E149" s="5" t="n"/>
      <c r="F149" s="5" t="n"/>
      <c r="G149" s="5" t="n"/>
      <c r="H149" s="5" t="n"/>
      <c r="I149" s="5" t="n"/>
      <c r="J149" s="7" t="n"/>
      <c r="K149" s="5" t="n"/>
      <c r="L149" s="7" t="n"/>
    </row>
    <row r="150">
      <c r="D150" s="12" t="n"/>
      <c r="E150" s="5" t="n"/>
      <c r="F150" s="5" t="n"/>
      <c r="G150" s="5" t="n"/>
      <c r="H150" s="5" t="n"/>
      <c r="I150" s="5" t="n"/>
      <c r="J150" s="7" t="n"/>
      <c r="K150" s="5" t="n"/>
      <c r="L150" s="7" t="n"/>
    </row>
    <row r="151">
      <c r="D151" s="12" t="n"/>
      <c r="E151" s="5" t="n"/>
      <c r="F151" s="5" t="n"/>
      <c r="G151" s="5" t="n"/>
      <c r="H151" s="5" t="n"/>
      <c r="I151" s="5" t="n"/>
      <c r="J151" s="7" t="n"/>
      <c r="K151" s="5" t="n"/>
      <c r="L151" s="7" t="n"/>
    </row>
    <row r="152">
      <c r="D152" s="12" t="n"/>
      <c r="E152" s="5" t="n"/>
      <c r="F152" s="5" t="n"/>
      <c r="G152" s="5" t="n"/>
      <c r="H152" s="5" t="n"/>
      <c r="I152" s="5" t="n"/>
      <c r="J152" s="7" t="n"/>
      <c r="K152" s="5" t="n"/>
      <c r="L152" s="7" t="n"/>
    </row>
    <row r="153">
      <c r="D153" s="12" t="n"/>
      <c r="E153" s="5" t="n"/>
      <c r="F153" s="5" t="n"/>
      <c r="G153" s="5" t="n"/>
      <c r="H153" s="5" t="n"/>
      <c r="I153" s="5" t="n"/>
      <c r="J153" s="7" t="n"/>
      <c r="K153" s="5" t="n"/>
      <c r="L153" s="7" t="n"/>
    </row>
    <row r="154">
      <c r="D154" s="12" t="n"/>
      <c r="E154" s="5" t="n"/>
      <c r="F154" s="5" t="n"/>
      <c r="G154" s="5" t="n"/>
      <c r="H154" s="5" t="n"/>
      <c r="I154" s="5" t="n"/>
      <c r="J154" s="7" t="n"/>
      <c r="K154" s="5" t="n"/>
      <c r="L154" s="7" t="n"/>
    </row>
    <row r="155">
      <c r="D155" s="12" t="n"/>
      <c r="E155" s="5" t="n"/>
      <c r="F155" s="5" t="n"/>
      <c r="G155" s="5" t="n"/>
      <c r="H155" s="5" t="n"/>
      <c r="I155" s="5" t="n"/>
      <c r="J155" s="7" t="n"/>
      <c r="K155" s="5" t="n"/>
      <c r="L155" s="7" t="n"/>
    </row>
    <row r="156">
      <c r="D156" s="12" t="n"/>
      <c r="E156" s="5" t="n"/>
      <c r="F156" s="5" t="n"/>
      <c r="G156" s="5" t="n"/>
      <c r="H156" s="5" t="n"/>
      <c r="I156" s="5" t="n"/>
      <c r="J156" s="7" t="n"/>
      <c r="K156" s="5" t="n"/>
      <c r="L156" s="7" t="n"/>
    </row>
    <row r="157">
      <c r="D157" s="12" t="n"/>
      <c r="E157" s="5" t="n"/>
      <c r="F157" s="5" t="n"/>
      <c r="G157" s="5" t="n"/>
      <c r="H157" s="5" t="n"/>
      <c r="I157" s="5" t="n"/>
      <c r="J157" s="7" t="n"/>
      <c r="K157" s="5" t="n"/>
      <c r="L157" s="7" t="n"/>
    </row>
    <row r="158">
      <c r="D158" s="12" t="n"/>
      <c r="E158" s="5" t="n"/>
      <c r="F158" s="5" t="n"/>
      <c r="G158" s="5" t="n"/>
      <c r="H158" s="5" t="n"/>
      <c r="I158" s="5" t="n"/>
      <c r="J158" s="7" t="n"/>
      <c r="K158" s="5" t="n"/>
      <c r="L158" s="7" t="n"/>
    </row>
    <row r="159">
      <c r="D159" s="12" t="n"/>
      <c r="E159" s="5" t="n"/>
      <c r="F159" s="5" t="n"/>
      <c r="G159" s="5" t="n"/>
      <c r="H159" s="5" t="n"/>
      <c r="I159" s="5" t="n"/>
      <c r="J159" s="7" t="n"/>
      <c r="K159" s="5" t="n"/>
      <c r="L159" s="7" t="n"/>
    </row>
    <row r="160">
      <c r="D160" s="12" t="n"/>
      <c r="E160" s="5" t="n"/>
      <c r="F160" s="5" t="n"/>
      <c r="G160" s="5" t="n"/>
      <c r="H160" s="5" t="n"/>
      <c r="I160" s="5" t="n"/>
      <c r="J160" s="7" t="n"/>
      <c r="K160" s="5" t="n"/>
      <c r="L160" s="7" t="n"/>
    </row>
    <row r="161">
      <c r="D161" s="12" t="n"/>
      <c r="E161" s="5" t="n"/>
      <c r="F161" s="5" t="n"/>
      <c r="G161" s="5" t="n"/>
      <c r="H161" s="5" t="n"/>
      <c r="I161" s="5" t="n"/>
      <c r="J161" s="7" t="n"/>
      <c r="K161" s="5" t="n"/>
      <c r="L161" s="7" t="n"/>
    </row>
    <row r="162">
      <c r="D162" s="12" t="n"/>
      <c r="E162" s="5" t="n"/>
      <c r="F162" s="5" t="n"/>
      <c r="G162" s="5" t="n"/>
      <c r="H162" s="5" t="n"/>
      <c r="I162" s="5" t="n"/>
      <c r="J162" s="7" t="n"/>
      <c r="K162" s="5" t="n"/>
      <c r="L162" s="7" t="n"/>
    </row>
    <row r="163">
      <c r="D163" s="12" t="n"/>
      <c r="E163" s="5" t="n"/>
      <c r="F163" s="5" t="n"/>
      <c r="G163" s="5" t="n"/>
      <c r="H163" s="5" t="n"/>
      <c r="I163" s="5" t="n"/>
      <c r="J163" s="7" t="n"/>
      <c r="K163" s="5" t="n"/>
      <c r="L163" s="7" t="n"/>
    </row>
    <row r="164">
      <c r="D164" s="12" t="n"/>
      <c r="E164" s="5" t="n"/>
      <c r="F164" s="5" t="n"/>
      <c r="G164" s="5" t="n"/>
      <c r="H164" s="5" t="n"/>
      <c r="I164" s="5" t="n"/>
      <c r="J164" s="7" t="n"/>
      <c r="K164" s="5" t="n"/>
      <c r="L164" s="7" t="n"/>
    </row>
    <row r="165">
      <c r="D165" s="12" t="n"/>
      <c r="E165" s="5" t="n"/>
      <c r="F165" s="5" t="n"/>
      <c r="G165" s="5" t="n"/>
      <c r="H165" s="5" t="n"/>
      <c r="I165" s="5" t="n"/>
      <c r="J165" s="7" t="n"/>
      <c r="K165" s="5" t="n"/>
      <c r="L165" s="7" t="n"/>
    </row>
    <row r="166">
      <c r="D166" s="12" t="n"/>
      <c r="E166" s="5" t="n"/>
      <c r="F166" s="5" t="n"/>
      <c r="G166" s="5" t="n"/>
      <c r="H166" s="5" t="n"/>
      <c r="I166" s="5" t="n"/>
      <c r="J166" s="7" t="n"/>
      <c r="K166" s="5" t="n"/>
      <c r="L166" s="7" t="n"/>
    </row>
    <row r="167">
      <c r="D167" s="12" t="n"/>
      <c r="E167" s="5" t="n"/>
      <c r="F167" s="5" t="n"/>
      <c r="G167" s="5" t="n"/>
      <c r="H167" s="5" t="n"/>
      <c r="I167" s="5" t="n"/>
      <c r="J167" s="7" t="n"/>
      <c r="K167" s="5" t="n"/>
      <c r="L167" s="7" t="n"/>
    </row>
    <row r="168">
      <c r="D168" s="12" t="n"/>
      <c r="E168" s="5" t="n"/>
      <c r="F168" s="5" t="n"/>
      <c r="G168" s="5" t="n"/>
      <c r="H168" s="5" t="n"/>
      <c r="I168" s="5" t="n"/>
      <c r="J168" s="7" t="n"/>
      <c r="K168" s="5" t="n"/>
      <c r="L168" s="7" t="n"/>
    </row>
    <row r="169">
      <c r="D169" s="12" t="n"/>
      <c r="E169" s="5" t="n"/>
      <c r="F169" s="5" t="n"/>
      <c r="G169" s="5" t="n"/>
      <c r="H169" s="5" t="n"/>
      <c r="I169" s="5" t="n"/>
      <c r="J169" s="7" t="n"/>
      <c r="K169" s="5" t="n"/>
      <c r="L169" s="7" t="n"/>
    </row>
    <row r="170">
      <c r="D170" s="12" t="n"/>
      <c r="E170" s="5" t="n"/>
      <c r="F170" s="5" t="n"/>
      <c r="G170" s="5" t="n"/>
      <c r="H170" s="5" t="n"/>
      <c r="I170" s="5" t="n"/>
      <c r="J170" s="7" t="n"/>
      <c r="K170" s="5" t="n"/>
      <c r="L170" s="7" t="n"/>
    </row>
    <row r="171">
      <c r="D171" s="12" t="n"/>
      <c r="E171" s="5" t="n"/>
      <c r="F171" s="5" t="n"/>
      <c r="G171" s="5" t="n"/>
      <c r="H171" s="5" t="n"/>
      <c r="I171" s="5" t="n"/>
      <c r="J171" s="7" t="n"/>
      <c r="K171" s="5" t="n"/>
      <c r="L171" s="7" t="n"/>
    </row>
    <row r="172">
      <c r="D172" s="12" t="n"/>
      <c r="E172" s="5" t="n"/>
      <c r="F172" s="5" t="n"/>
      <c r="G172" s="5" t="n"/>
      <c r="H172" s="5" t="n"/>
      <c r="I172" s="5" t="n"/>
      <c r="J172" s="7" t="n"/>
      <c r="K172" s="5" t="n"/>
      <c r="L172" s="7" t="n"/>
    </row>
    <row r="173">
      <c r="D173" s="12" t="n"/>
      <c r="E173" s="5" t="n"/>
      <c r="F173" s="5" t="n"/>
      <c r="G173" s="5" t="n"/>
      <c r="H173" s="5" t="n"/>
      <c r="I173" s="5" t="n"/>
      <c r="J173" s="7" t="n"/>
      <c r="K173" s="5" t="n"/>
      <c r="L173" s="7" t="n"/>
    </row>
    <row r="174">
      <c r="D174" s="12" t="n"/>
      <c r="E174" s="5" t="n"/>
      <c r="F174" s="5" t="n"/>
      <c r="G174" s="5" t="n"/>
      <c r="H174" s="5" t="n"/>
      <c r="I174" s="5" t="n"/>
      <c r="J174" s="7" t="n"/>
      <c r="K174" s="5" t="n"/>
      <c r="L174" s="7" t="n"/>
    </row>
    <row r="175">
      <c r="D175" s="12" t="n"/>
      <c r="E175" s="5" t="n"/>
      <c r="F175" s="5" t="n"/>
      <c r="G175" s="5" t="n"/>
      <c r="H175" s="5" t="n"/>
      <c r="I175" s="5" t="n"/>
      <c r="J175" s="7" t="n"/>
      <c r="K175" s="5" t="n"/>
      <c r="L175" s="7" t="n"/>
    </row>
    <row r="176">
      <c r="D176" s="12" t="n"/>
      <c r="E176" s="5" t="n"/>
      <c r="F176" s="5" t="n"/>
      <c r="G176" s="5" t="n"/>
      <c r="H176" s="5" t="n"/>
      <c r="I176" s="5" t="n"/>
      <c r="J176" s="7" t="n"/>
      <c r="K176" s="5" t="n"/>
      <c r="L176" s="7" t="n"/>
    </row>
    <row r="177">
      <c r="D177" s="12" t="n"/>
      <c r="E177" s="5" t="n"/>
      <c r="F177" s="5" t="n"/>
      <c r="G177" s="5" t="n"/>
      <c r="H177" s="5" t="n"/>
      <c r="I177" s="5" t="n"/>
      <c r="J177" s="7" t="n"/>
      <c r="K177" s="5" t="n"/>
      <c r="L177" s="7" t="n"/>
    </row>
    <row r="178">
      <c r="D178" s="12" t="n"/>
      <c r="E178" s="5" t="n"/>
      <c r="F178" s="5" t="n"/>
      <c r="G178" s="5" t="n"/>
      <c r="H178" s="5" t="n"/>
      <c r="I178" s="5" t="n"/>
      <c r="J178" s="7" t="n"/>
      <c r="K178" s="5" t="n"/>
      <c r="L178" s="7" t="n"/>
    </row>
    <row r="179">
      <c r="D179" s="12" t="n"/>
      <c r="E179" s="5" t="n"/>
      <c r="F179" s="5" t="n"/>
      <c r="G179" s="5" t="n"/>
      <c r="H179" s="5" t="n"/>
      <c r="I179" s="5" t="n"/>
      <c r="J179" s="7" t="n"/>
      <c r="K179" s="5" t="n"/>
      <c r="L179" s="7" t="n"/>
    </row>
    <row r="180">
      <c r="D180" s="12" t="n"/>
      <c r="E180" s="5" t="n"/>
      <c r="F180" s="5" t="n"/>
      <c r="G180" s="5" t="n"/>
      <c r="H180" s="5" t="n"/>
      <c r="I180" s="5" t="n"/>
      <c r="J180" s="7" t="n"/>
      <c r="K180" s="5" t="n"/>
      <c r="L180" s="7" t="n"/>
    </row>
    <row r="181">
      <c r="D181" s="12" t="n"/>
      <c r="E181" s="5" t="n"/>
      <c r="F181" s="5" t="n"/>
      <c r="G181" s="5" t="n"/>
      <c r="H181" s="5" t="n"/>
      <c r="I181" s="5" t="n"/>
      <c r="J181" s="7" t="n"/>
      <c r="K181" s="5" t="n"/>
      <c r="L181" s="7" t="n"/>
    </row>
    <row r="182">
      <c r="D182" s="12" t="n"/>
      <c r="E182" s="5" t="n"/>
      <c r="F182" s="5" t="n"/>
      <c r="G182" s="5" t="n"/>
      <c r="H182" s="5" t="n"/>
      <c r="I182" s="5" t="n"/>
      <c r="J182" s="7" t="n"/>
      <c r="K182" s="5" t="n"/>
      <c r="L182" s="7" t="n"/>
    </row>
    <row r="183">
      <c r="D183" s="12" t="n"/>
      <c r="E183" s="5" t="n"/>
      <c r="F183" s="5" t="n"/>
      <c r="G183" s="5" t="n"/>
      <c r="H183" s="5" t="n"/>
      <c r="I183" s="5" t="n"/>
      <c r="J183" s="7" t="n"/>
      <c r="K183" s="5" t="n"/>
      <c r="L183" s="7" t="n"/>
    </row>
    <row r="184">
      <c r="D184" s="12" t="n"/>
      <c r="E184" s="5" t="n"/>
      <c r="F184" s="5" t="n"/>
      <c r="G184" s="5" t="n"/>
      <c r="H184" s="5" t="n"/>
      <c r="I184" s="5" t="n"/>
      <c r="J184" s="7" t="n"/>
      <c r="K184" s="5" t="n"/>
      <c r="L184" s="7" t="n"/>
    </row>
    <row r="185">
      <c r="D185" s="12" t="n"/>
      <c r="E185" s="5" t="n"/>
      <c r="F185" s="5" t="n"/>
      <c r="G185" s="5" t="n"/>
      <c r="H185" s="5" t="n"/>
      <c r="I185" s="5" t="n"/>
      <c r="J185" s="7" t="n"/>
      <c r="K185" s="5" t="n"/>
      <c r="L185" s="7" t="n"/>
    </row>
    <row r="186">
      <c r="D186" s="12" t="n"/>
      <c r="E186" s="5" t="n"/>
      <c r="F186" s="5" t="n"/>
      <c r="G186" s="5" t="n"/>
      <c r="H186" s="5" t="n"/>
      <c r="I186" s="5" t="n"/>
      <c r="J186" s="7" t="n"/>
      <c r="K186" s="5" t="n"/>
      <c r="L186" s="7" t="n"/>
    </row>
    <row r="187">
      <c r="D187" s="12" t="n"/>
      <c r="E187" s="5" t="n"/>
      <c r="F187" s="5" t="n"/>
      <c r="G187" s="5" t="n"/>
      <c r="H187" s="5" t="n"/>
      <c r="I187" s="5" t="n"/>
      <c r="J187" s="7" t="n"/>
      <c r="K187" s="5" t="n"/>
      <c r="L187" s="7" t="n"/>
    </row>
    <row r="188">
      <c r="D188" s="12" t="n"/>
      <c r="E188" s="5" t="n"/>
      <c r="F188" s="5" t="n"/>
      <c r="G188" s="5" t="n"/>
      <c r="H188" s="5" t="n"/>
      <c r="I188" s="5" t="n"/>
      <c r="J188" s="7" t="n"/>
      <c r="K188" s="5" t="n"/>
      <c r="L188" s="7" t="n"/>
    </row>
    <row r="189">
      <c r="D189" s="12" t="n"/>
      <c r="E189" s="5" t="n"/>
      <c r="F189" s="5" t="n"/>
      <c r="G189" s="5" t="n"/>
      <c r="H189" s="5" t="n"/>
      <c r="I189" s="5" t="n"/>
      <c r="J189" s="7" t="n"/>
      <c r="K189" s="5" t="n"/>
      <c r="L189" s="7" t="n"/>
    </row>
    <row r="190">
      <c r="D190" s="12" t="n"/>
      <c r="E190" s="5" t="n"/>
      <c r="F190" s="5" t="n"/>
      <c r="G190" s="5" t="n"/>
      <c r="H190" s="5" t="n"/>
      <c r="I190" s="5" t="n"/>
      <c r="J190" s="7" t="n"/>
      <c r="K190" s="5" t="n"/>
      <c r="L190" s="7" t="n"/>
    </row>
    <row r="191">
      <c r="D191" s="12" t="n"/>
      <c r="E191" s="5" t="n"/>
      <c r="F191" s="5" t="n"/>
      <c r="G191" s="5" t="n"/>
      <c r="H191" s="5" t="n"/>
      <c r="I191" s="5" t="n"/>
      <c r="J191" s="7" t="n"/>
      <c r="K191" s="5" t="n"/>
      <c r="L191" s="7" t="n"/>
    </row>
    <row r="192">
      <c r="D192" s="12" t="n"/>
      <c r="E192" s="5" t="n"/>
      <c r="F192" s="5" t="n"/>
      <c r="G192" s="5" t="n"/>
      <c r="H192" s="5" t="n"/>
      <c r="I192" s="5" t="n"/>
      <c r="J192" s="7" t="n"/>
      <c r="K192" s="5" t="n"/>
      <c r="L192" s="7" t="n"/>
    </row>
    <row r="193">
      <c r="D193" s="12" t="n"/>
      <c r="E193" s="5" t="n"/>
      <c r="F193" s="5" t="n"/>
      <c r="G193" s="5" t="n"/>
      <c r="H193" s="5" t="n"/>
      <c r="I193" s="5" t="n"/>
      <c r="J193" s="7" t="n"/>
      <c r="K193" s="5" t="n"/>
      <c r="L193" s="7" t="n"/>
    </row>
    <row r="194">
      <c r="D194" s="12" t="n"/>
      <c r="E194" s="5" t="n"/>
      <c r="F194" s="5" t="n"/>
      <c r="G194" s="5" t="n"/>
      <c r="H194" s="5" t="n"/>
      <c r="I194" s="5" t="n"/>
      <c r="J194" s="7" t="n"/>
      <c r="K194" s="5" t="n"/>
      <c r="L194" s="7" t="n"/>
    </row>
    <row r="195">
      <c r="D195" s="12" t="n"/>
      <c r="E195" s="5" t="n"/>
      <c r="F195" s="5" t="n"/>
      <c r="G195" s="5" t="n"/>
      <c r="H195" s="5" t="n"/>
      <c r="I195" s="5" t="n"/>
      <c r="J195" s="7" t="n"/>
      <c r="K195" s="5" t="n"/>
      <c r="L195" s="7" t="n"/>
    </row>
    <row r="196">
      <c r="D196" s="12" t="n"/>
      <c r="E196" s="5" t="n"/>
      <c r="F196" s="5" t="n"/>
      <c r="G196" s="5" t="n"/>
      <c r="H196" s="5" t="n"/>
      <c r="I196" s="5" t="n"/>
      <c r="J196" s="7" t="n"/>
      <c r="K196" s="5" t="n"/>
      <c r="L196" s="7" t="n"/>
    </row>
    <row r="197">
      <c r="D197" s="12" t="n"/>
      <c r="E197" s="5" t="n"/>
      <c r="F197" s="5" t="n"/>
      <c r="G197" s="5" t="n"/>
      <c r="H197" s="5" t="n"/>
      <c r="I197" s="5" t="n"/>
      <c r="J197" s="7" t="n"/>
      <c r="K197" s="5" t="n"/>
      <c r="L197" s="7" t="n"/>
    </row>
    <row r="198">
      <c r="D198" s="12" t="n"/>
      <c r="E198" s="5" t="n"/>
      <c r="F198" s="5" t="n"/>
      <c r="G198" s="5" t="n"/>
      <c r="H198" s="5" t="n"/>
      <c r="I198" s="5" t="n"/>
      <c r="J198" s="7" t="n"/>
      <c r="K198" s="5" t="n"/>
      <c r="L198" s="7" t="n"/>
    </row>
    <row r="199">
      <c r="D199" s="12" t="n"/>
      <c r="E199" s="5" t="n"/>
      <c r="F199" s="5" t="n"/>
      <c r="G199" s="5" t="n"/>
      <c r="H199" s="5" t="n"/>
      <c r="I199" s="5" t="n"/>
      <c r="J199" s="7" t="n"/>
      <c r="K199" s="5" t="n"/>
      <c r="L199" s="7" t="n"/>
    </row>
    <row r="200">
      <c r="D200" s="12" t="n"/>
      <c r="E200" s="5" t="n"/>
      <c r="F200" s="5" t="n"/>
      <c r="G200" s="5" t="n"/>
      <c r="H200" s="5" t="n"/>
      <c r="I200" s="5" t="n"/>
      <c r="J200" s="7" t="n"/>
      <c r="K200" s="5" t="n"/>
      <c r="L200" s="7" t="n"/>
    </row>
    <row r="201">
      <c r="D201" s="12" t="n"/>
      <c r="E201" s="5" t="n"/>
      <c r="F201" s="5" t="n"/>
      <c r="G201" s="5" t="n"/>
      <c r="H201" s="5" t="n"/>
      <c r="I201" s="5" t="n"/>
      <c r="J201" s="7" t="n"/>
      <c r="K201" s="5" t="n"/>
      <c r="L201" s="7" t="n"/>
    </row>
    <row r="202">
      <c r="D202" s="12" t="n"/>
      <c r="E202" s="5" t="n"/>
      <c r="F202" s="5" t="n"/>
      <c r="G202" s="5" t="n"/>
      <c r="H202" s="5" t="n"/>
      <c r="I202" s="5" t="n"/>
      <c r="J202" s="7" t="n"/>
      <c r="K202" s="5" t="n"/>
      <c r="L202" s="7" t="n"/>
    </row>
    <row r="203">
      <c r="D203" s="12" t="n"/>
      <c r="E203" s="5" t="n"/>
      <c r="F203" s="5" t="n"/>
      <c r="G203" s="5" t="n"/>
      <c r="H203" s="5" t="n"/>
      <c r="I203" s="5" t="n"/>
      <c r="J203" s="7" t="n"/>
      <c r="K203" s="5" t="n"/>
      <c r="L203" s="7" t="n"/>
    </row>
    <row r="204">
      <c r="D204" s="12" t="n"/>
      <c r="E204" s="5" t="n"/>
      <c r="F204" s="5" t="n"/>
      <c r="G204" s="5" t="n"/>
      <c r="H204" s="5" t="n"/>
      <c r="I204" s="5" t="n"/>
      <c r="J204" s="7" t="n"/>
      <c r="K204" s="5" t="n"/>
      <c r="L204" s="7" t="n"/>
    </row>
    <row r="205">
      <c r="D205" s="12" t="n"/>
      <c r="E205" s="5" t="n"/>
      <c r="F205" s="5" t="n"/>
      <c r="G205" s="5" t="n"/>
      <c r="H205" s="5" t="n"/>
      <c r="I205" s="5" t="n"/>
      <c r="J205" s="7" t="n"/>
      <c r="K205" s="5" t="n"/>
      <c r="L205" s="7" t="n"/>
    </row>
    <row r="206">
      <c r="D206" s="12" t="n"/>
      <c r="E206" s="5" t="n"/>
      <c r="F206" s="5" t="n"/>
      <c r="G206" s="5" t="n"/>
      <c r="H206" s="5" t="n"/>
      <c r="I206" s="5" t="n"/>
      <c r="J206" s="7" t="n"/>
      <c r="K206" s="5" t="n"/>
      <c r="L206" s="7" t="n"/>
    </row>
    <row r="207">
      <c r="D207" s="12" t="n"/>
      <c r="E207" s="5" t="n"/>
      <c r="F207" s="5" t="n"/>
      <c r="G207" s="5" t="n"/>
      <c r="H207" s="5" t="n"/>
      <c r="I207" s="5" t="n"/>
      <c r="J207" s="7" t="n"/>
      <c r="K207" s="5" t="n"/>
      <c r="L207" s="7" t="n"/>
    </row>
    <row r="208">
      <c r="D208" s="12" t="n"/>
      <c r="E208" s="5" t="n"/>
      <c r="F208" s="5" t="n"/>
      <c r="G208" s="5" t="n"/>
      <c r="H208" s="5" t="n"/>
      <c r="I208" s="5" t="n"/>
      <c r="J208" s="7" t="n"/>
      <c r="K208" s="5" t="n"/>
      <c r="L208" s="7" t="n"/>
    </row>
    <row r="209">
      <c r="D209" s="12" t="n"/>
      <c r="E209" s="5" t="n"/>
      <c r="F209" s="5" t="n"/>
      <c r="G209" s="5" t="n"/>
      <c r="H209" s="5" t="n"/>
      <c r="I209" s="5" t="n"/>
      <c r="J209" s="7" t="n"/>
      <c r="K209" s="5" t="n"/>
      <c r="L209" s="7" t="n"/>
    </row>
    <row r="210">
      <c r="D210" s="12" t="n"/>
      <c r="E210" s="5" t="n"/>
      <c r="F210" s="5" t="n"/>
      <c r="G210" s="5" t="n"/>
      <c r="H210" s="5" t="n"/>
      <c r="I210" s="5" t="n"/>
      <c r="J210" s="7" t="n"/>
      <c r="K210" s="5" t="n"/>
      <c r="L210" s="7" t="n"/>
    </row>
    <row r="211">
      <c r="D211" s="12" t="n"/>
      <c r="E211" s="5" t="n"/>
      <c r="F211" s="5" t="n"/>
      <c r="G211" s="5" t="n"/>
      <c r="H211" s="5" t="n"/>
      <c r="I211" s="5" t="n"/>
      <c r="J211" s="7" t="n"/>
      <c r="K211" s="5" t="n"/>
      <c r="L211" s="7" t="n"/>
    </row>
    <row r="212">
      <c r="D212" s="12" t="n"/>
      <c r="E212" s="5" t="n"/>
      <c r="F212" s="5" t="n"/>
      <c r="G212" s="5" t="n"/>
      <c r="H212" s="5" t="n"/>
      <c r="I212" s="5" t="n"/>
      <c r="J212" s="7" t="n"/>
      <c r="K212" s="5" t="n"/>
      <c r="L212" s="7" t="n"/>
    </row>
    <row r="213">
      <c r="D213" s="12" t="n"/>
      <c r="E213" s="5" t="n"/>
      <c r="F213" s="5" t="n"/>
      <c r="G213" s="5" t="n"/>
      <c r="H213" s="5" t="n"/>
      <c r="I213" s="5" t="n"/>
      <c r="J213" s="7" t="n"/>
      <c r="K213" s="5" t="n"/>
      <c r="L213" s="7" t="n"/>
    </row>
    <row r="214">
      <c r="D214" s="12" t="n"/>
      <c r="E214" s="5" t="n"/>
      <c r="F214" s="5" t="n"/>
      <c r="G214" s="5" t="n"/>
      <c r="H214" s="5" t="n"/>
      <c r="I214" s="5" t="n"/>
      <c r="J214" s="7" t="n"/>
      <c r="K214" s="5" t="n"/>
      <c r="L214" s="7" t="n"/>
    </row>
    <row r="215">
      <c r="D215" s="12" t="n"/>
      <c r="E215" s="5" t="n"/>
      <c r="F215" s="5" t="n"/>
      <c r="G215" s="5" t="n"/>
      <c r="H215" s="5" t="n"/>
      <c r="I215" s="5" t="n"/>
      <c r="J215" s="7" t="n"/>
      <c r="K215" s="5" t="n"/>
      <c r="L215" s="7" t="n"/>
    </row>
    <row r="216">
      <c r="D216" s="12" t="n"/>
      <c r="E216" s="5" t="n"/>
      <c r="F216" s="5" t="n"/>
      <c r="G216" s="5" t="n"/>
      <c r="H216" s="5" t="n"/>
      <c r="I216" s="5" t="n"/>
      <c r="J216" s="7" t="n"/>
      <c r="K216" s="5" t="n"/>
      <c r="L216" s="7" t="n"/>
    </row>
    <row r="217">
      <c r="D217" s="12" t="n"/>
      <c r="E217" s="5" t="n"/>
      <c r="F217" s="5" t="n"/>
      <c r="G217" s="5" t="n"/>
      <c r="H217" s="5" t="n"/>
      <c r="I217" s="5" t="n"/>
      <c r="J217" s="7" t="n"/>
      <c r="K217" s="5" t="n"/>
      <c r="L217" s="7" t="n"/>
    </row>
    <row r="218">
      <c r="D218" s="12" t="n"/>
      <c r="E218" s="5" t="n"/>
      <c r="F218" s="5" t="n"/>
      <c r="G218" s="5" t="n"/>
      <c r="H218" s="5" t="n"/>
      <c r="I218" s="5" t="n"/>
      <c r="J218" s="7" t="n"/>
      <c r="K218" s="5" t="n"/>
      <c r="L218" s="7" t="n"/>
    </row>
    <row r="219">
      <c r="D219" s="12" t="n"/>
      <c r="E219" s="5" t="n"/>
      <c r="F219" s="5" t="n"/>
      <c r="G219" s="5" t="n"/>
      <c r="H219" s="5" t="n"/>
      <c r="I219" s="5" t="n"/>
      <c r="J219" s="7" t="n"/>
      <c r="K219" s="5" t="n"/>
      <c r="L219" s="7" t="n"/>
    </row>
    <row r="220">
      <c r="D220" s="12" t="n"/>
      <c r="E220" s="5" t="n"/>
      <c r="F220" s="5" t="n"/>
      <c r="G220" s="5" t="n"/>
      <c r="H220" s="5" t="n"/>
      <c r="I220" s="5" t="n"/>
      <c r="J220" s="7" t="n"/>
      <c r="K220" s="5" t="n"/>
      <c r="L220" s="7" t="n"/>
    </row>
    <row r="221">
      <c r="D221" s="12" t="n"/>
      <c r="E221" s="5" t="n"/>
      <c r="F221" s="5" t="n"/>
      <c r="G221" s="5" t="n"/>
      <c r="H221" s="5" t="n"/>
      <c r="I221" s="5" t="n"/>
      <c r="J221" s="7" t="n"/>
      <c r="K221" s="5" t="n"/>
      <c r="L221" s="7" t="n"/>
    </row>
    <row r="222">
      <c r="D222" s="12" t="n"/>
      <c r="E222" s="5" t="n"/>
      <c r="F222" s="5" t="n"/>
      <c r="G222" s="5" t="n"/>
      <c r="H222" s="5" t="n"/>
      <c r="I222" s="5" t="n"/>
      <c r="J222" s="7" t="n"/>
      <c r="K222" s="5" t="n"/>
      <c r="L222" s="7" t="n"/>
    </row>
    <row r="223">
      <c r="D223" s="12" t="n"/>
      <c r="E223" s="5" t="n"/>
      <c r="F223" s="5" t="n"/>
      <c r="G223" s="5" t="n"/>
      <c r="H223" s="5" t="n"/>
      <c r="I223" s="5" t="n"/>
      <c r="J223" s="7" t="n"/>
      <c r="K223" s="5" t="n"/>
      <c r="L223" s="7" t="n"/>
    </row>
    <row r="224">
      <c r="D224" s="12" t="n"/>
      <c r="E224" s="5" t="n"/>
      <c r="F224" s="5" t="n"/>
      <c r="G224" s="5" t="n"/>
      <c r="H224" s="5" t="n"/>
      <c r="I224" s="5" t="n"/>
      <c r="J224" s="7" t="n"/>
      <c r="K224" s="5" t="n"/>
      <c r="L224" s="7" t="n"/>
    </row>
    <row r="225">
      <c r="D225" s="12" t="n"/>
      <c r="E225" s="5" t="n"/>
      <c r="F225" s="5" t="n"/>
      <c r="G225" s="5" t="n"/>
      <c r="H225" s="5" t="n"/>
      <c r="I225" s="5" t="n"/>
      <c r="J225" s="7" t="n"/>
      <c r="K225" s="5" t="n"/>
      <c r="L225" s="7" t="n"/>
    </row>
    <row r="226">
      <c r="D226" s="12" t="n"/>
      <c r="E226" s="5" t="n"/>
      <c r="F226" s="5" t="n"/>
      <c r="G226" s="5" t="n"/>
      <c r="H226" s="5" t="n"/>
      <c r="I226" s="5" t="n"/>
      <c r="J226" s="7" t="n"/>
      <c r="K226" s="5" t="n"/>
      <c r="L226" s="7" t="n"/>
    </row>
    <row r="227">
      <c r="D227" s="12" t="n"/>
      <c r="E227" s="5" t="n"/>
      <c r="F227" s="5" t="n"/>
      <c r="G227" s="5" t="n"/>
      <c r="H227" s="5" t="n"/>
      <c r="I227" s="5" t="n"/>
      <c r="J227" s="7" t="n"/>
      <c r="K227" s="5" t="n"/>
      <c r="L227" s="7" t="n"/>
    </row>
    <row r="228">
      <c r="D228" s="12" t="n"/>
      <c r="E228" s="5" t="n"/>
      <c r="F228" s="5" t="n"/>
      <c r="G228" s="5" t="n"/>
      <c r="H228" s="5" t="n"/>
      <c r="I228" s="5" t="n"/>
      <c r="J228" s="7" t="n"/>
      <c r="K228" s="5" t="n"/>
      <c r="L228" s="7" t="n"/>
    </row>
    <row r="229">
      <c r="D229" s="12" t="n"/>
      <c r="E229" s="5" t="n"/>
      <c r="F229" s="5" t="n"/>
      <c r="G229" s="5" t="n"/>
      <c r="H229" s="5" t="n"/>
      <c r="I229" s="5" t="n"/>
      <c r="J229" s="7" t="n"/>
      <c r="K229" s="5" t="n"/>
      <c r="L229" s="7" t="n"/>
    </row>
    <row r="230">
      <c r="D230" s="12" t="n"/>
      <c r="E230" s="5" t="n"/>
      <c r="F230" s="5" t="n"/>
      <c r="G230" s="5" t="n"/>
      <c r="H230" s="5" t="n"/>
      <c r="I230" s="5" t="n"/>
      <c r="J230" s="7" t="n"/>
      <c r="K230" s="5" t="n"/>
      <c r="L230" s="7" t="n"/>
    </row>
    <row r="231">
      <c r="D231" s="12" t="n"/>
      <c r="E231" s="5" t="n"/>
      <c r="F231" s="5" t="n"/>
      <c r="G231" s="5" t="n"/>
      <c r="H231" s="5" t="n"/>
      <c r="I231" s="5" t="n"/>
      <c r="J231" s="7" t="n"/>
      <c r="K231" s="5" t="n"/>
      <c r="L231" s="7" t="n"/>
    </row>
    <row r="232">
      <c r="D232" s="12" t="n"/>
      <c r="E232" s="5" t="n"/>
      <c r="F232" s="5" t="n"/>
      <c r="G232" s="5" t="n"/>
      <c r="H232" s="5" t="n"/>
      <c r="I232" s="5" t="n"/>
      <c r="J232" s="7" t="n"/>
      <c r="K232" s="5" t="n"/>
      <c r="L232" s="7" t="n"/>
    </row>
    <row r="233">
      <c r="D233" s="12" t="n"/>
      <c r="E233" s="5" t="n"/>
      <c r="F233" s="5" t="n"/>
      <c r="G233" s="5" t="n"/>
      <c r="H233" s="5" t="n"/>
      <c r="I233" s="5" t="n"/>
      <c r="J233" s="7" t="n"/>
      <c r="K233" s="5" t="n"/>
      <c r="L233" s="7" t="n"/>
    </row>
    <row r="234">
      <c r="D234" s="12" t="n"/>
      <c r="E234" s="5" t="n"/>
      <c r="F234" s="5" t="n"/>
      <c r="G234" s="5" t="n"/>
      <c r="H234" s="5" t="n"/>
      <c r="I234" s="5" t="n"/>
      <c r="J234" s="7" t="n"/>
      <c r="K234" s="5" t="n"/>
      <c r="L234" s="7" t="n"/>
    </row>
    <row r="235">
      <c r="D235" s="12" t="n"/>
      <c r="E235" s="5" t="n"/>
      <c r="F235" s="5" t="n"/>
      <c r="G235" s="5" t="n"/>
      <c r="H235" s="5" t="n"/>
      <c r="I235" s="5" t="n"/>
      <c r="J235" s="7" t="n"/>
      <c r="K235" s="5" t="n"/>
      <c r="L235" s="7" t="n"/>
    </row>
    <row r="236">
      <c r="D236" s="12" t="n"/>
      <c r="E236" s="5" t="n"/>
      <c r="F236" s="5" t="n"/>
      <c r="G236" s="5" t="n"/>
      <c r="H236" s="5" t="n"/>
      <c r="I236" s="5" t="n"/>
      <c r="J236" s="7" t="n"/>
      <c r="K236" s="5" t="n"/>
      <c r="L236" s="7" t="n"/>
    </row>
    <row r="237">
      <c r="D237" s="12" t="n"/>
      <c r="E237" s="5" t="n"/>
      <c r="F237" s="5" t="n"/>
      <c r="G237" s="5" t="n"/>
      <c r="H237" s="5" t="n"/>
      <c r="I237" s="5" t="n"/>
      <c r="J237" s="7" t="n"/>
      <c r="K237" s="5" t="n"/>
      <c r="L237" s="7" t="n"/>
    </row>
    <row r="238">
      <c r="D238" s="12" t="n"/>
      <c r="E238" s="5" t="n"/>
      <c r="F238" s="5" t="n"/>
      <c r="G238" s="5" t="n"/>
      <c r="H238" s="5" t="n"/>
      <c r="I238" s="5" t="n"/>
      <c r="J238" s="7" t="n"/>
      <c r="K238" s="5" t="n"/>
      <c r="L238" s="7" t="n"/>
    </row>
    <row r="239">
      <c r="D239" s="12" t="n"/>
      <c r="E239" s="5" t="n"/>
      <c r="F239" s="5" t="n"/>
      <c r="G239" s="5" t="n"/>
      <c r="H239" s="5" t="n"/>
      <c r="I239" s="5" t="n"/>
      <c r="J239" s="7" t="n"/>
      <c r="K239" s="5" t="n"/>
      <c r="L239" s="7" t="n"/>
    </row>
    <row r="240">
      <c r="D240" s="12" t="n"/>
      <c r="E240" s="5" t="n"/>
      <c r="F240" s="5" t="n"/>
      <c r="G240" s="5" t="n"/>
      <c r="H240" s="5" t="n"/>
      <c r="I240" s="5" t="n"/>
      <c r="J240" s="7" t="n"/>
      <c r="K240" s="5" t="n"/>
      <c r="L240" s="7" t="n"/>
    </row>
    <row r="241">
      <c r="D241" s="12" t="n"/>
      <c r="E241" s="5" t="n"/>
      <c r="F241" s="5" t="n"/>
      <c r="G241" s="5" t="n"/>
      <c r="H241" s="5" t="n"/>
      <c r="I241" s="5" t="n"/>
      <c r="J241" s="7" t="n"/>
      <c r="K241" s="5" t="n"/>
      <c r="L241" s="7" t="n"/>
    </row>
    <row r="242">
      <c r="D242" s="12" t="n"/>
      <c r="E242" s="5" t="n"/>
      <c r="F242" s="5" t="n"/>
      <c r="G242" s="5" t="n"/>
      <c r="H242" s="5" t="n"/>
      <c r="I242" s="5" t="n"/>
      <c r="J242" s="7" t="n"/>
      <c r="K242" s="5" t="n"/>
      <c r="L242" s="7" t="n"/>
    </row>
    <row r="243">
      <c r="D243" s="12" t="n"/>
      <c r="E243" s="5" t="n"/>
      <c r="F243" s="5" t="n"/>
      <c r="G243" s="5" t="n"/>
      <c r="H243" s="5" t="n"/>
      <c r="I243" s="5" t="n"/>
      <c r="J243" s="7" t="n"/>
      <c r="K243" s="5" t="n"/>
      <c r="L243" s="7" t="n"/>
    </row>
    <row r="244">
      <c r="D244" s="12" t="n"/>
      <c r="E244" s="5" t="n"/>
      <c r="F244" s="5" t="n"/>
      <c r="G244" s="5" t="n"/>
      <c r="H244" s="5" t="n"/>
      <c r="I244" s="5" t="n"/>
      <c r="J244" s="7" t="n"/>
      <c r="K244" s="5" t="n"/>
      <c r="L244" s="7" t="n"/>
    </row>
    <row r="245">
      <c r="D245" s="12" t="n"/>
      <c r="E245" s="5" t="n"/>
      <c r="F245" s="5" t="n"/>
      <c r="G245" s="5" t="n"/>
      <c r="H245" s="5" t="n"/>
      <c r="I245" s="5" t="n"/>
      <c r="J245" s="7" t="n"/>
      <c r="K245" s="5" t="n"/>
      <c r="L245" s="7" t="n"/>
    </row>
    <row r="246">
      <c r="D246" s="12" t="n"/>
      <c r="E246" s="5" t="n"/>
      <c r="F246" s="5" t="n"/>
      <c r="G246" s="5" t="n"/>
      <c r="H246" s="5" t="n"/>
      <c r="I246" s="5" t="n"/>
      <c r="J246" s="7" t="n"/>
      <c r="K246" s="5" t="n"/>
      <c r="L246" s="7" t="n"/>
    </row>
    <row r="247">
      <c r="D247" s="12" t="n"/>
      <c r="E247" s="5" t="n"/>
      <c r="F247" s="5" t="n"/>
      <c r="G247" s="5" t="n"/>
      <c r="H247" s="5" t="n"/>
      <c r="I247" s="5" t="n"/>
      <c r="J247" s="7" t="n"/>
      <c r="K247" s="5" t="n"/>
      <c r="L247" s="7" t="n"/>
    </row>
    <row r="248">
      <c r="D248" s="12" t="n"/>
      <c r="E248" s="5" t="n"/>
      <c r="F248" s="5" t="n"/>
      <c r="G248" s="5" t="n"/>
      <c r="H248" s="5" t="n"/>
      <c r="I248" s="5" t="n"/>
      <c r="J248" s="7" t="n"/>
      <c r="K248" s="5" t="n"/>
      <c r="L248" s="7" t="n"/>
    </row>
    <row r="249">
      <c r="D249" s="12" t="n"/>
      <c r="E249" s="5" t="n"/>
      <c r="F249" s="5" t="n"/>
      <c r="G249" s="5" t="n"/>
      <c r="H249" s="5" t="n"/>
      <c r="I249" s="5" t="n"/>
      <c r="J249" s="7" t="n"/>
      <c r="K249" s="5" t="n"/>
      <c r="L249" s="7" t="n"/>
    </row>
    <row r="250">
      <c r="D250" s="12" t="n"/>
      <c r="E250" s="5" t="n"/>
      <c r="F250" s="5" t="n"/>
      <c r="G250" s="5" t="n"/>
      <c r="H250" s="5" t="n"/>
      <c r="I250" s="5" t="n"/>
      <c r="J250" s="7" t="n"/>
      <c r="K250" s="5" t="n"/>
      <c r="L250" s="7" t="n"/>
    </row>
    <row r="251">
      <c r="D251" s="12" t="n"/>
      <c r="E251" s="5" t="n"/>
      <c r="F251" s="5" t="n"/>
      <c r="G251" s="5" t="n"/>
      <c r="H251" s="5" t="n"/>
      <c r="I251" s="5" t="n"/>
      <c r="J251" s="7" t="n"/>
      <c r="K251" s="5" t="n"/>
      <c r="L251" s="7" t="n"/>
    </row>
    <row r="252">
      <c r="D252" s="12" t="n"/>
      <c r="E252" s="5" t="n"/>
      <c r="F252" s="5" t="n"/>
      <c r="G252" s="5" t="n"/>
      <c r="H252" s="5" t="n"/>
      <c r="I252" s="5" t="n"/>
      <c r="J252" s="7" t="n"/>
      <c r="K252" s="5" t="n"/>
      <c r="L252" s="7" t="n"/>
    </row>
    <row r="253">
      <c r="D253" s="12" t="n"/>
      <c r="E253" s="5" t="n"/>
      <c r="F253" s="5" t="n"/>
      <c r="G253" s="5" t="n"/>
      <c r="H253" s="5" t="n"/>
      <c r="I253" s="5" t="n"/>
      <c r="J253" s="7" t="n"/>
      <c r="K253" s="5" t="n"/>
      <c r="L253" s="7" t="n"/>
    </row>
    <row r="254">
      <c r="D254" s="12" t="n"/>
      <c r="E254" s="5" t="n"/>
      <c r="F254" s="5" t="n"/>
      <c r="G254" s="5" t="n"/>
      <c r="H254" s="5" t="n"/>
      <c r="I254" s="5" t="n"/>
      <c r="J254" s="7" t="n"/>
      <c r="K254" s="5" t="n"/>
      <c r="L254" s="7" t="n"/>
    </row>
    <row r="255">
      <c r="D255" s="12" t="n"/>
      <c r="E255" s="5" t="n"/>
      <c r="F255" s="5" t="n"/>
      <c r="G255" s="5" t="n"/>
      <c r="H255" s="5" t="n"/>
      <c r="I255" s="5" t="n"/>
      <c r="J255" s="7" t="n"/>
      <c r="K255" s="5" t="n"/>
      <c r="L255" s="7" t="n"/>
    </row>
    <row r="256">
      <c r="D256" s="12" t="n"/>
      <c r="E256" s="5" t="n"/>
      <c r="F256" s="5" t="n"/>
      <c r="G256" s="5" t="n"/>
      <c r="H256" s="5" t="n"/>
      <c r="I256" s="5" t="n"/>
      <c r="J256" s="7" t="n"/>
      <c r="K256" s="5" t="n"/>
      <c r="L256" s="7" t="n"/>
    </row>
    <row r="257">
      <c r="D257" s="12" t="n"/>
      <c r="E257" s="5" t="n"/>
      <c r="F257" s="5" t="n"/>
      <c r="G257" s="5" t="n"/>
      <c r="H257" s="5" t="n"/>
      <c r="I257" s="5" t="n"/>
      <c r="J257" s="7" t="n"/>
      <c r="K257" s="5" t="n"/>
      <c r="L257" s="7" t="n"/>
    </row>
    <row r="258">
      <c r="D258" s="12" t="n"/>
      <c r="E258" s="5" t="n"/>
      <c r="F258" s="5" t="n"/>
      <c r="G258" s="5" t="n"/>
      <c r="H258" s="5" t="n"/>
      <c r="I258" s="5" t="n"/>
      <c r="J258" s="7" t="n"/>
      <c r="K258" s="5" t="n"/>
      <c r="L258" s="7" t="n"/>
    </row>
    <row r="259">
      <c r="D259" s="12" t="n"/>
      <c r="E259" s="5" t="n"/>
      <c r="F259" s="5" t="n"/>
      <c r="G259" s="5" t="n"/>
      <c r="H259" s="5" t="n"/>
      <c r="I259" s="5" t="n"/>
      <c r="J259" s="7" t="n"/>
      <c r="K259" s="5" t="n"/>
      <c r="L259" s="7" t="n"/>
    </row>
    <row r="260">
      <c r="D260" s="12" t="n"/>
      <c r="E260" s="5" t="n"/>
      <c r="F260" s="5" t="n"/>
      <c r="G260" s="5" t="n"/>
      <c r="H260" s="5" t="n"/>
      <c r="I260" s="5" t="n"/>
      <c r="J260" s="7" t="n"/>
      <c r="K260" s="5" t="n"/>
      <c r="L260" s="7" t="n"/>
    </row>
    <row r="261">
      <c r="D261" s="12" t="n"/>
      <c r="E261" s="5" t="n"/>
      <c r="F261" s="5" t="n"/>
      <c r="G261" s="5" t="n"/>
      <c r="H261" s="5" t="n"/>
      <c r="I261" s="5" t="n"/>
      <c r="J261" s="7" t="n"/>
      <c r="K261" s="5" t="n"/>
      <c r="L261" s="7" t="n"/>
    </row>
    <row r="262">
      <c r="D262" s="12" t="n"/>
      <c r="E262" s="5" t="n"/>
      <c r="F262" s="5" t="n"/>
      <c r="G262" s="5" t="n"/>
      <c r="H262" s="5" t="n"/>
      <c r="I262" s="5" t="n"/>
      <c r="J262" s="7" t="n"/>
      <c r="K262" s="5" t="n"/>
      <c r="L262" s="7" t="n"/>
    </row>
    <row r="263">
      <c r="D263" s="12" t="n"/>
      <c r="E263" s="5" t="n"/>
      <c r="F263" s="5" t="n"/>
      <c r="G263" s="5" t="n"/>
      <c r="H263" s="5" t="n"/>
      <c r="I263" s="5" t="n"/>
      <c r="J263" s="7" t="n"/>
      <c r="K263" s="5" t="n"/>
      <c r="L263" s="7" t="n"/>
    </row>
    <row r="264">
      <c r="D264" s="12" t="n"/>
      <c r="E264" s="5" t="n"/>
      <c r="F264" s="5" t="n"/>
      <c r="G264" s="5" t="n"/>
      <c r="H264" s="5" t="n"/>
      <c r="I264" s="5" t="n"/>
      <c r="J264" s="7" t="n"/>
      <c r="K264" s="5" t="n"/>
      <c r="L264" s="7" t="n"/>
    </row>
    <row r="265">
      <c r="D265" s="12" t="n"/>
      <c r="E265" s="5" t="n"/>
      <c r="F265" s="5" t="n"/>
      <c r="G265" s="5" t="n"/>
      <c r="H265" s="5" t="n"/>
      <c r="I265" s="5" t="n"/>
      <c r="J265" s="7" t="n"/>
      <c r="K265" s="5" t="n"/>
      <c r="L265" s="7" t="n"/>
    </row>
    <row r="266">
      <c r="D266" s="12" t="n"/>
      <c r="E266" s="5" t="n"/>
      <c r="F266" s="5" t="n"/>
      <c r="G266" s="5" t="n"/>
      <c r="H266" s="5" t="n"/>
      <c r="I266" s="5" t="n"/>
      <c r="J266" s="7" t="n"/>
      <c r="K266" s="5" t="n"/>
      <c r="L266" s="7" t="n"/>
    </row>
    <row r="267">
      <c r="D267" s="12" t="n"/>
      <c r="E267" s="5" t="n"/>
      <c r="F267" s="5" t="n"/>
      <c r="G267" s="5" t="n"/>
      <c r="H267" s="5" t="n"/>
      <c r="I267" s="5" t="n"/>
      <c r="J267" s="7" t="n"/>
      <c r="K267" s="5" t="n"/>
      <c r="L267" s="7" t="n"/>
    </row>
    <row r="268">
      <c r="D268" s="12" t="n"/>
      <c r="E268" s="5" t="n"/>
      <c r="F268" s="5" t="n"/>
      <c r="G268" s="5" t="n"/>
      <c r="H268" s="5" t="n"/>
      <c r="I268" s="5" t="n"/>
      <c r="J268" s="7" t="n"/>
      <c r="K268" s="5" t="n"/>
      <c r="L268" s="7" t="n"/>
    </row>
    <row r="269">
      <c r="D269" s="12" t="n"/>
      <c r="E269" s="5" t="n"/>
      <c r="F269" s="5" t="n"/>
      <c r="G269" s="5" t="n"/>
      <c r="H269" s="5" t="n"/>
      <c r="I269" s="5" t="n"/>
      <c r="J269" s="7" t="n"/>
      <c r="K269" s="5" t="n"/>
      <c r="L269" s="7" t="n"/>
    </row>
    <row r="270">
      <c r="D270" s="12" t="n"/>
      <c r="E270" s="5" t="n"/>
      <c r="F270" s="5" t="n"/>
      <c r="G270" s="5" t="n"/>
      <c r="H270" s="5" t="n"/>
      <c r="I270" s="5" t="n"/>
      <c r="J270" s="7" t="n"/>
      <c r="K270" s="5" t="n"/>
      <c r="L270" s="7" t="n"/>
    </row>
    <row r="271">
      <c r="D271" s="12" t="n"/>
      <c r="E271" s="5" t="n"/>
      <c r="F271" s="5" t="n"/>
      <c r="G271" s="5" t="n"/>
      <c r="H271" s="5" t="n"/>
      <c r="I271" s="5" t="n"/>
      <c r="J271" s="7" t="n"/>
      <c r="K271" s="5" t="n"/>
      <c r="L271" s="7" t="n"/>
    </row>
    <row r="272">
      <c r="D272" s="12" t="n"/>
      <c r="E272" s="5" t="n"/>
      <c r="F272" s="5" t="n"/>
      <c r="G272" s="5" t="n"/>
      <c r="H272" s="5" t="n"/>
      <c r="I272" s="5" t="n"/>
      <c r="J272" s="7" t="n"/>
      <c r="K272" s="5" t="n"/>
      <c r="L272" s="7" t="n"/>
    </row>
    <row r="273">
      <c r="D273" s="12" t="n"/>
      <c r="E273" s="5" t="n"/>
      <c r="F273" s="5" t="n"/>
      <c r="G273" s="5" t="n"/>
      <c r="H273" s="5" t="n"/>
      <c r="I273" s="5" t="n"/>
      <c r="J273" s="7" t="n"/>
      <c r="K273" s="5" t="n"/>
      <c r="L273" s="7" t="n"/>
    </row>
    <row r="274">
      <c r="D274" s="12" t="n"/>
      <c r="E274" s="5" t="n"/>
      <c r="F274" s="5" t="n"/>
      <c r="G274" s="5" t="n"/>
      <c r="H274" s="5" t="n"/>
      <c r="I274" s="5" t="n"/>
      <c r="J274" s="7" t="n"/>
      <c r="K274" s="5" t="n"/>
      <c r="L274" s="7" t="n"/>
    </row>
    <row r="275">
      <c r="D275" s="12" t="n"/>
      <c r="E275" s="5" t="n"/>
      <c r="F275" s="5" t="n"/>
      <c r="G275" s="5" t="n"/>
      <c r="H275" s="5" t="n"/>
      <c r="I275" s="5" t="n"/>
      <c r="J275" s="7" t="n"/>
      <c r="K275" s="5" t="n"/>
      <c r="L275" s="7" t="n"/>
    </row>
    <row r="276">
      <c r="D276" s="12" t="n"/>
      <c r="E276" s="5" t="n"/>
      <c r="F276" s="5" t="n"/>
      <c r="G276" s="5" t="n"/>
      <c r="H276" s="5" t="n"/>
      <c r="I276" s="5" t="n"/>
      <c r="J276" s="7" t="n"/>
      <c r="K276" s="5" t="n"/>
      <c r="L276" s="7" t="n"/>
    </row>
    <row r="277">
      <c r="D277" s="12" t="n"/>
      <c r="E277" s="5" t="n"/>
      <c r="F277" s="5" t="n"/>
      <c r="G277" s="5" t="n"/>
      <c r="H277" s="5" t="n"/>
      <c r="I277" s="5" t="n"/>
      <c r="J277" s="7" t="n"/>
      <c r="K277" s="5" t="n"/>
      <c r="L277" s="7" t="n"/>
    </row>
    <row r="278">
      <c r="D278" s="12" t="n"/>
      <c r="E278" s="5" t="n"/>
      <c r="F278" s="5" t="n"/>
      <c r="G278" s="5" t="n"/>
      <c r="H278" s="5" t="n"/>
      <c r="I278" s="5" t="n"/>
      <c r="J278" s="7" t="n"/>
      <c r="K278" s="5" t="n"/>
      <c r="L278" s="7" t="n"/>
    </row>
    <row r="279">
      <c r="D279" s="12" t="n"/>
      <c r="E279" s="5" t="n"/>
      <c r="F279" s="5" t="n"/>
      <c r="G279" s="5" t="n"/>
      <c r="H279" s="5" t="n"/>
      <c r="I279" s="5" t="n"/>
      <c r="J279" s="7" t="n"/>
      <c r="K279" s="5" t="n"/>
      <c r="L279" s="7" t="n"/>
    </row>
    <row r="280">
      <c r="D280" s="12" t="n"/>
      <c r="E280" s="5" t="n"/>
      <c r="F280" s="5" t="n"/>
      <c r="G280" s="5" t="n"/>
      <c r="H280" s="5" t="n"/>
      <c r="I280" s="5" t="n"/>
      <c r="J280" s="7" t="n"/>
      <c r="K280" s="5" t="n"/>
      <c r="L280" s="7" t="n"/>
    </row>
    <row r="281">
      <c r="D281" s="12" t="n"/>
      <c r="E281" s="5" t="n"/>
      <c r="F281" s="5" t="n"/>
      <c r="G281" s="5" t="n"/>
      <c r="H281" s="5" t="n"/>
      <c r="I281" s="5" t="n"/>
      <c r="J281" s="7" t="n"/>
      <c r="K281" s="5" t="n"/>
      <c r="L281" s="7" t="n"/>
    </row>
    <row r="282">
      <c r="D282" s="12" t="n"/>
      <c r="E282" s="5" t="n"/>
      <c r="F282" s="5" t="n"/>
      <c r="G282" s="5" t="n"/>
      <c r="H282" s="5" t="n"/>
      <c r="I282" s="5" t="n"/>
      <c r="J282" s="7" t="n"/>
      <c r="K282" s="5" t="n"/>
      <c r="L282" s="7" t="n"/>
    </row>
    <row r="283">
      <c r="D283" s="12" t="n"/>
      <c r="E283" s="5" t="n"/>
      <c r="F283" s="5" t="n"/>
      <c r="G283" s="5" t="n"/>
      <c r="H283" s="5" t="n"/>
      <c r="I283" s="5" t="n"/>
      <c r="J283" s="7" t="n"/>
      <c r="K283" s="5" t="n"/>
      <c r="L283" s="7" t="n"/>
    </row>
    <row r="284">
      <c r="D284" s="12" t="n"/>
      <c r="E284" s="5" t="n"/>
      <c r="F284" s="5" t="n"/>
      <c r="G284" s="5" t="n"/>
      <c r="H284" s="5" t="n"/>
      <c r="I284" s="5" t="n"/>
      <c r="J284" s="7" t="n"/>
      <c r="K284" s="5" t="n"/>
      <c r="L284" s="7" t="n"/>
    </row>
    <row r="285">
      <c r="D285" s="12" t="n"/>
      <c r="E285" s="5" t="n"/>
      <c r="F285" s="5" t="n"/>
      <c r="G285" s="5" t="n"/>
      <c r="H285" s="5" t="n"/>
      <c r="I285" s="5" t="n"/>
      <c r="J285" s="7" t="n"/>
      <c r="K285" s="5" t="n"/>
      <c r="L285" s="7" t="n"/>
    </row>
    <row r="286">
      <c r="D286" s="12" t="n"/>
      <c r="E286" s="5" t="n"/>
      <c r="F286" s="5" t="n"/>
      <c r="G286" s="5" t="n"/>
      <c r="H286" s="5" t="n"/>
      <c r="I286" s="5" t="n"/>
      <c r="J286" s="7" t="n"/>
      <c r="K286" s="5" t="n"/>
      <c r="L286" s="7" t="n"/>
    </row>
    <row r="287">
      <c r="D287" s="12" t="n"/>
      <c r="E287" s="5" t="n"/>
      <c r="F287" s="5" t="n"/>
      <c r="G287" s="5" t="n"/>
      <c r="H287" s="5" t="n"/>
      <c r="I287" s="5" t="n"/>
      <c r="J287" s="7" t="n"/>
      <c r="K287" s="5" t="n"/>
      <c r="L287" s="7" t="n"/>
    </row>
    <row r="288">
      <c r="D288" s="12" t="n"/>
      <c r="E288" s="5" t="n"/>
      <c r="F288" s="5" t="n"/>
      <c r="G288" s="5" t="n"/>
      <c r="H288" s="5" t="n"/>
      <c r="I288" s="5" t="n"/>
      <c r="J288" s="7" t="n"/>
      <c r="K288" s="5" t="n"/>
      <c r="L288" s="7" t="n"/>
    </row>
    <row r="289">
      <c r="D289" s="12" t="n"/>
      <c r="E289" s="5" t="n"/>
      <c r="F289" s="5" t="n"/>
      <c r="G289" s="5" t="n"/>
      <c r="H289" s="5" t="n"/>
      <c r="I289" s="5" t="n"/>
      <c r="J289" s="7" t="n"/>
      <c r="K289" s="5" t="n"/>
      <c r="L289" s="7" t="n"/>
    </row>
    <row r="290">
      <c r="D290" s="12" t="n"/>
      <c r="E290" s="5" t="n"/>
      <c r="F290" s="5" t="n"/>
      <c r="G290" s="5" t="n"/>
      <c r="H290" s="5" t="n"/>
      <c r="I290" s="5" t="n"/>
      <c r="J290" s="7" t="n"/>
      <c r="K290" s="5" t="n"/>
      <c r="L290" s="7" t="n"/>
    </row>
    <row r="291">
      <c r="D291" s="12" t="n"/>
      <c r="E291" s="5" t="n"/>
      <c r="F291" s="5" t="n"/>
      <c r="G291" s="5" t="n"/>
      <c r="H291" s="5" t="n"/>
      <c r="I291" s="5" t="n"/>
      <c r="J291" s="7" t="n"/>
      <c r="K291" s="5" t="n"/>
      <c r="L291" s="7" t="n"/>
    </row>
    <row r="292">
      <c r="D292" s="12" t="n"/>
      <c r="E292" s="5" t="n"/>
      <c r="F292" s="5" t="n"/>
      <c r="G292" s="5" t="n"/>
      <c r="H292" s="5" t="n"/>
      <c r="I292" s="5" t="n"/>
      <c r="J292" s="7" t="n"/>
      <c r="K292" s="5" t="n"/>
      <c r="L292" s="7" t="n"/>
    </row>
    <row r="293">
      <c r="D293" s="12" t="n"/>
      <c r="E293" s="5" t="n"/>
      <c r="F293" s="5" t="n"/>
      <c r="G293" s="5" t="n"/>
      <c r="H293" s="5" t="n"/>
      <c r="I293" s="5" t="n"/>
      <c r="J293" s="7" t="n"/>
      <c r="K293" s="5" t="n"/>
      <c r="L293" s="7" t="n"/>
    </row>
    <row r="294">
      <c r="D294" s="12" t="n"/>
      <c r="E294" s="5" t="n"/>
      <c r="F294" s="5" t="n"/>
      <c r="G294" s="5" t="n"/>
      <c r="H294" s="5" t="n"/>
      <c r="I294" s="5" t="n"/>
      <c r="J294" s="7" t="n"/>
      <c r="K294" s="5" t="n"/>
      <c r="L294" s="7" t="n"/>
    </row>
    <row r="295">
      <c r="D295" s="12" t="n"/>
      <c r="E295" s="5" t="n"/>
      <c r="F295" s="5" t="n"/>
      <c r="G295" s="5" t="n"/>
      <c r="H295" s="5" t="n"/>
      <c r="I295" s="5" t="n"/>
      <c r="J295" s="7" t="n"/>
      <c r="K295" s="5" t="n"/>
      <c r="L295" s="7" t="n"/>
    </row>
    <row r="296">
      <c r="D296" s="12" t="n"/>
      <c r="E296" s="5" t="n"/>
      <c r="F296" s="5" t="n"/>
      <c r="G296" s="5" t="n"/>
      <c r="H296" s="5" t="n"/>
      <c r="I296" s="5" t="n"/>
      <c r="J296" s="7" t="n"/>
      <c r="K296" s="5" t="n"/>
      <c r="L296" s="7" t="n"/>
    </row>
    <row r="297">
      <c r="D297" s="12" t="n"/>
      <c r="E297" s="5" t="n"/>
      <c r="F297" s="5" t="n"/>
      <c r="G297" s="5" t="n"/>
      <c r="H297" s="5" t="n"/>
      <c r="I297" s="5" t="n"/>
      <c r="J297" s="7" t="n"/>
      <c r="K297" s="5" t="n"/>
      <c r="L297" s="7" t="n"/>
    </row>
    <row r="298">
      <c r="D298" s="12" t="n"/>
      <c r="E298" s="5" t="n"/>
      <c r="F298" s="5" t="n"/>
      <c r="G298" s="5" t="n"/>
      <c r="H298" s="5" t="n"/>
      <c r="I298" s="5" t="n"/>
      <c r="J298" s="7" t="n"/>
      <c r="K298" s="5" t="n"/>
      <c r="L298" s="7" t="n"/>
    </row>
    <row r="299">
      <c r="D299" s="12" t="n"/>
      <c r="E299" s="5" t="n"/>
      <c r="F299" s="5" t="n"/>
      <c r="G299" s="5" t="n"/>
      <c r="H299" s="5" t="n"/>
      <c r="I299" s="5" t="n"/>
      <c r="J299" s="7" t="n"/>
      <c r="K299" s="5" t="n"/>
      <c r="L299" s="7" t="n"/>
    </row>
    <row r="300">
      <c r="D300" s="12" t="n"/>
      <c r="E300" s="5" t="n"/>
      <c r="F300" s="5" t="n"/>
      <c r="G300" s="5" t="n"/>
      <c r="H300" s="5" t="n"/>
      <c r="I300" s="5" t="n"/>
      <c r="J300" s="7" t="n"/>
      <c r="K300" s="5" t="n"/>
      <c r="L30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14" customWidth="1" min="5" max="5"/>
    <col width="13" customWidth="1" min="6" max="6"/>
    <col width="15" customWidth="1" min="7" max="7"/>
    <col width="15" customWidth="1" min="8" max="8"/>
    <col width="14" customWidth="1" min="9" max="9"/>
    <col width="9" customWidth="1" min="10" max="10"/>
    <col width="14" customWidth="1" min="11" max="11"/>
    <col width="8" customWidth="1" min="12" max="12"/>
  </cols>
  <sheetData>
    <row r="1">
      <c r="A1" s="1" t="inlineStr">
        <is>
          <t>미장 보유 종목 (USD)</t>
        </is>
      </c>
    </row>
    <row r="2">
      <c r="A2" s="2" t="inlineStr">
        <is>
          <t>보유 종목은 미장_주식일지의 '종목목록' 탭에서 개수 제한 없이 자동으로 불러옵니다.</t>
        </is>
      </c>
    </row>
    <row r="3">
      <c r="A3" s="3" t="inlineStr">
        <is>
          <t>종목 탭</t>
        </is>
      </c>
      <c r="B3" s="3" t="inlineStr">
        <is>
          <t>종목명</t>
        </is>
      </c>
      <c r="C3" s="3" t="inlineStr">
        <is>
          <t>티커</t>
        </is>
      </c>
      <c r="D3" s="3" t="inlineStr">
        <is>
          <t>보유 수량</t>
        </is>
      </c>
      <c r="E3" s="3" t="inlineStr">
        <is>
          <t>평균 매수단가</t>
        </is>
      </c>
      <c r="F3" s="3" t="inlineStr">
        <is>
          <t>현재가</t>
        </is>
      </c>
      <c r="G3" s="3" t="inlineStr">
        <is>
          <t>매수금액</t>
        </is>
      </c>
      <c r="H3" s="3" t="inlineStr">
        <is>
          <t>평가금액</t>
        </is>
      </c>
      <c r="I3" s="3" t="inlineStr">
        <is>
          <t>평가 손익</t>
        </is>
      </c>
      <c r="J3" s="3" t="inlineStr">
        <is>
          <t>수익률</t>
        </is>
      </c>
      <c r="K3" s="3" t="inlineStr">
        <is>
          <t>누적 실현손익</t>
        </is>
      </c>
      <c r="L3" s="3" t="inlineStr">
        <is>
          <t>비중</t>
        </is>
      </c>
    </row>
    <row r="4">
      <c r="A4" s="8" t="inlineStr">
        <is>
          <t>합계</t>
        </is>
      </c>
      <c r="B4" s="8">
        <f>COUNTIF(A5:A,"?*")&amp;"종목"</f>
        <v/>
      </c>
      <c r="C4" s="8" t="n"/>
      <c r="D4" s="9" t="n"/>
      <c r="E4" s="13" t="n"/>
      <c r="F4" s="13" t="n"/>
      <c r="G4" s="13">
        <f>SUM(G5:G)</f>
        <v/>
      </c>
      <c r="H4" s="13">
        <f>SUM(H5:H)</f>
        <v/>
      </c>
      <c r="I4" s="13">
        <f>H4-G4</f>
        <v/>
      </c>
      <c r="J4" s="11">
        <f>IF(G4=0,0,I4/G4)</f>
        <v/>
      </c>
      <c r="K4" s="13">
        <f>SUM(K5:K)</f>
        <v/>
      </c>
      <c r="L4" s="11">
        <f>SUM(L5:L)</f>
        <v/>
      </c>
    </row>
    <row r="5">
      <c r="A5">
        <f>ARRAYFORMULA(IFERROR(LET(tl,IMPORTRANGE(URL_US,"'종목목록'!A2:A"),tabs,FILTER(tl,tl&lt;&gt;""),rs,REDUCE(SEQUENCE(1,11,0,0),tabs,LAMBDA(acc,t,VSTACK(acc,LET(d,IMPORTRANGE(URL_US,"'"&amp;t&amp;"'!A1:D7"),HSTACK(t,INDEX(d,1,2),INDEX(d,2,2),INDEX(d,4,2),INDEX(d,5,2),INDEX(d,3,2),INDEX(d,6,2),INDEX(d,7,2),INDEX(d,1,4),INDEX(d,2,4),INDEX(d,3,4)))))),r,FILTER(rs,SEQUENCE(ROWS(rs))&gt;1),h,CHOOSECOLS(r,8),tot,SUM(h),HSTACK(r,IF(tot=0,"",h/tot))),""))</f>
        <v/>
      </c>
      <c r="D5" s="12" t="n"/>
      <c r="E5" s="6" t="n"/>
      <c r="F5" s="6" t="n"/>
      <c r="G5" s="6" t="n"/>
      <c r="H5" s="6" t="n"/>
      <c r="I5" s="6" t="n"/>
      <c r="J5" s="7" t="n"/>
      <c r="K5" s="6" t="n"/>
      <c r="L5" s="7" t="n"/>
    </row>
    <row r="6">
      <c r="D6" s="12" t="n"/>
      <c r="E6" s="6" t="n"/>
      <c r="F6" s="6" t="n"/>
      <c r="G6" s="6" t="n"/>
      <c r="H6" s="6" t="n"/>
      <c r="I6" s="6" t="n"/>
      <c r="J6" s="7" t="n"/>
      <c r="K6" s="6" t="n"/>
      <c r="L6" s="7" t="n"/>
    </row>
    <row r="7">
      <c r="D7" s="12" t="n"/>
      <c r="E7" s="6" t="n"/>
      <c r="F7" s="6" t="n"/>
      <c r="G7" s="6" t="n"/>
      <c r="H7" s="6" t="n"/>
      <c r="I7" s="6" t="n"/>
      <c r="J7" s="7" t="n"/>
      <c r="K7" s="6" t="n"/>
      <c r="L7" s="7" t="n"/>
    </row>
    <row r="8">
      <c r="D8" s="12" t="n"/>
      <c r="E8" s="6" t="n"/>
      <c r="F8" s="6" t="n"/>
      <c r="G8" s="6" t="n"/>
      <c r="H8" s="6" t="n"/>
      <c r="I8" s="6" t="n"/>
      <c r="J8" s="7" t="n"/>
      <c r="K8" s="6" t="n"/>
      <c r="L8" s="7" t="n"/>
    </row>
    <row r="9">
      <c r="D9" s="12" t="n"/>
      <c r="E9" s="6" t="n"/>
      <c r="F9" s="6" t="n"/>
      <c r="G9" s="6" t="n"/>
      <c r="H9" s="6" t="n"/>
      <c r="I9" s="6" t="n"/>
      <c r="J9" s="7" t="n"/>
      <c r="K9" s="6" t="n"/>
      <c r="L9" s="7" t="n"/>
    </row>
    <row r="10">
      <c r="D10" s="12" t="n"/>
      <c r="E10" s="6" t="n"/>
      <c r="F10" s="6" t="n"/>
      <c r="G10" s="6" t="n"/>
      <c r="H10" s="6" t="n"/>
      <c r="I10" s="6" t="n"/>
      <c r="J10" s="7" t="n"/>
      <c r="K10" s="6" t="n"/>
      <c r="L10" s="7" t="n"/>
    </row>
    <row r="11">
      <c r="D11" s="12" t="n"/>
      <c r="E11" s="6" t="n"/>
      <c r="F11" s="6" t="n"/>
      <c r="G11" s="6" t="n"/>
      <c r="H11" s="6" t="n"/>
      <c r="I11" s="6" t="n"/>
      <c r="J11" s="7" t="n"/>
      <c r="K11" s="6" t="n"/>
      <c r="L11" s="7" t="n"/>
    </row>
    <row r="12">
      <c r="D12" s="12" t="n"/>
      <c r="E12" s="6" t="n"/>
      <c r="F12" s="6" t="n"/>
      <c r="G12" s="6" t="n"/>
      <c r="H12" s="6" t="n"/>
      <c r="I12" s="6" t="n"/>
      <c r="J12" s="7" t="n"/>
      <c r="K12" s="6" t="n"/>
      <c r="L12" s="7" t="n"/>
    </row>
    <row r="13">
      <c r="D13" s="12" t="n"/>
      <c r="E13" s="6" t="n"/>
      <c r="F13" s="6" t="n"/>
      <c r="G13" s="6" t="n"/>
      <c r="H13" s="6" t="n"/>
      <c r="I13" s="6" t="n"/>
      <c r="J13" s="7" t="n"/>
      <c r="K13" s="6" t="n"/>
      <c r="L13" s="7" t="n"/>
    </row>
    <row r="14">
      <c r="D14" s="12" t="n"/>
      <c r="E14" s="6" t="n"/>
      <c r="F14" s="6" t="n"/>
      <c r="G14" s="6" t="n"/>
      <c r="H14" s="6" t="n"/>
      <c r="I14" s="6" t="n"/>
      <c r="J14" s="7" t="n"/>
      <c r="K14" s="6" t="n"/>
      <c r="L14" s="7" t="n"/>
    </row>
    <row r="15">
      <c r="D15" s="12" t="n"/>
      <c r="E15" s="6" t="n"/>
      <c r="F15" s="6" t="n"/>
      <c r="G15" s="6" t="n"/>
      <c r="H15" s="6" t="n"/>
      <c r="I15" s="6" t="n"/>
      <c r="J15" s="7" t="n"/>
      <c r="K15" s="6" t="n"/>
      <c r="L15" s="7" t="n"/>
    </row>
    <row r="16">
      <c r="D16" s="12" t="n"/>
      <c r="E16" s="6" t="n"/>
      <c r="F16" s="6" t="n"/>
      <c r="G16" s="6" t="n"/>
      <c r="H16" s="6" t="n"/>
      <c r="I16" s="6" t="n"/>
      <c r="J16" s="7" t="n"/>
      <c r="K16" s="6" t="n"/>
      <c r="L16" s="7" t="n"/>
    </row>
    <row r="17">
      <c r="D17" s="12" t="n"/>
      <c r="E17" s="6" t="n"/>
      <c r="F17" s="6" t="n"/>
      <c r="G17" s="6" t="n"/>
      <c r="H17" s="6" t="n"/>
      <c r="I17" s="6" t="n"/>
      <c r="J17" s="7" t="n"/>
      <c r="K17" s="6" t="n"/>
      <c r="L17" s="7" t="n"/>
    </row>
    <row r="18">
      <c r="D18" s="12" t="n"/>
      <c r="E18" s="6" t="n"/>
      <c r="F18" s="6" t="n"/>
      <c r="G18" s="6" t="n"/>
      <c r="H18" s="6" t="n"/>
      <c r="I18" s="6" t="n"/>
      <c r="J18" s="7" t="n"/>
      <c r="K18" s="6" t="n"/>
      <c r="L18" s="7" t="n"/>
    </row>
    <row r="19">
      <c r="D19" s="12" t="n"/>
      <c r="E19" s="6" t="n"/>
      <c r="F19" s="6" t="n"/>
      <c r="G19" s="6" t="n"/>
      <c r="H19" s="6" t="n"/>
      <c r="I19" s="6" t="n"/>
      <c r="J19" s="7" t="n"/>
      <c r="K19" s="6" t="n"/>
      <c r="L19" s="7" t="n"/>
    </row>
    <row r="20">
      <c r="D20" s="12" t="n"/>
      <c r="E20" s="6" t="n"/>
      <c r="F20" s="6" t="n"/>
      <c r="G20" s="6" t="n"/>
      <c r="H20" s="6" t="n"/>
      <c r="I20" s="6" t="n"/>
      <c r="J20" s="7" t="n"/>
      <c r="K20" s="6" t="n"/>
      <c r="L20" s="7" t="n"/>
    </row>
    <row r="21">
      <c r="D21" s="12" t="n"/>
      <c r="E21" s="6" t="n"/>
      <c r="F21" s="6" t="n"/>
      <c r="G21" s="6" t="n"/>
      <c r="H21" s="6" t="n"/>
      <c r="I21" s="6" t="n"/>
      <c r="J21" s="7" t="n"/>
      <c r="K21" s="6" t="n"/>
      <c r="L21" s="7" t="n"/>
    </row>
    <row r="22">
      <c r="D22" s="12" t="n"/>
      <c r="E22" s="6" t="n"/>
      <c r="F22" s="6" t="n"/>
      <c r="G22" s="6" t="n"/>
      <c r="H22" s="6" t="n"/>
      <c r="I22" s="6" t="n"/>
      <c r="J22" s="7" t="n"/>
      <c r="K22" s="6" t="n"/>
      <c r="L22" s="7" t="n"/>
    </row>
    <row r="23">
      <c r="D23" s="12" t="n"/>
      <c r="E23" s="6" t="n"/>
      <c r="F23" s="6" t="n"/>
      <c r="G23" s="6" t="n"/>
      <c r="H23" s="6" t="n"/>
      <c r="I23" s="6" t="n"/>
      <c r="J23" s="7" t="n"/>
      <c r="K23" s="6" t="n"/>
      <c r="L23" s="7" t="n"/>
    </row>
    <row r="24">
      <c r="D24" s="12" t="n"/>
      <c r="E24" s="6" t="n"/>
      <c r="F24" s="6" t="n"/>
      <c r="G24" s="6" t="n"/>
      <c r="H24" s="6" t="n"/>
      <c r="I24" s="6" t="n"/>
      <c r="J24" s="7" t="n"/>
      <c r="K24" s="6" t="n"/>
      <c r="L24" s="7" t="n"/>
    </row>
    <row r="25">
      <c r="D25" s="12" t="n"/>
      <c r="E25" s="6" t="n"/>
      <c r="F25" s="6" t="n"/>
      <c r="G25" s="6" t="n"/>
      <c r="H25" s="6" t="n"/>
      <c r="I25" s="6" t="n"/>
      <c r="J25" s="7" t="n"/>
      <c r="K25" s="6" t="n"/>
      <c r="L25" s="7" t="n"/>
    </row>
    <row r="26">
      <c r="D26" s="12" t="n"/>
      <c r="E26" s="6" t="n"/>
      <c r="F26" s="6" t="n"/>
      <c r="G26" s="6" t="n"/>
      <c r="H26" s="6" t="n"/>
      <c r="I26" s="6" t="n"/>
      <c r="J26" s="7" t="n"/>
      <c r="K26" s="6" t="n"/>
      <c r="L26" s="7" t="n"/>
    </row>
    <row r="27">
      <c r="D27" s="12" t="n"/>
      <c r="E27" s="6" t="n"/>
      <c r="F27" s="6" t="n"/>
      <c r="G27" s="6" t="n"/>
      <c r="H27" s="6" t="n"/>
      <c r="I27" s="6" t="n"/>
      <c r="J27" s="7" t="n"/>
      <c r="K27" s="6" t="n"/>
      <c r="L27" s="7" t="n"/>
    </row>
    <row r="28">
      <c r="D28" s="12" t="n"/>
      <c r="E28" s="6" t="n"/>
      <c r="F28" s="6" t="n"/>
      <c r="G28" s="6" t="n"/>
      <c r="H28" s="6" t="n"/>
      <c r="I28" s="6" t="n"/>
      <c r="J28" s="7" t="n"/>
      <c r="K28" s="6" t="n"/>
      <c r="L28" s="7" t="n"/>
    </row>
    <row r="29">
      <c r="D29" s="12" t="n"/>
      <c r="E29" s="6" t="n"/>
      <c r="F29" s="6" t="n"/>
      <c r="G29" s="6" t="n"/>
      <c r="H29" s="6" t="n"/>
      <c r="I29" s="6" t="n"/>
      <c r="J29" s="7" t="n"/>
      <c r="K29" s="6" t="n"/>
      <c r="L29" s="7" t="n"/>
    </row>
    <row r="30">
      <c r="D30" s="12" t="n"/>
      <c r="E30" s="6" t="n"/>
      <c r="F30" s="6" t="n"/>
      <c r="G30" s="6" t="n"/>
      <c r="H30" s="6" t="n"/>
      <c r="I30" s="6" t="n"/>
      <c r="J30" s="7" t="n"/>
      <c r="K30" s="6" t="n"/>
      <c r="L30" s="7" t="n"/>
    </row>
    <row r="31">
      <c r="D31" s="12" t="n"/>
      <c r="E31" s="6" t="n"/>
      <c r="F31" s="6" t="n"/>
      <c r="G31" s="6" t="n"/>
      <c r="H31" s="6" t="n"/>
      <c r="I31" s="6" t="n"/>
      <c r="J31" s="7" t="n"/>
      <c r="K31" s="6" t="n"/>
      <c r="L31" s="7" t="n"/>
    </row>
    <row r="32">
      <c r="D32" s="12" t="n"/>
      <c r="E32" s="6" t="n"/>
      <c r="F32" s="6" t="n"/>
      <c r="G32" s="6" t="n"/>
      <c r="H32" s="6" t="n"/>
      <c r="I32" s="6" t="n"/>
      <c r="J32" s="7" t="n"/>
      <c r="K32" s="6" t="n"/>
      <c r="L32" s="7" t="n"/>
    </row>
    <row r="33">
      <c r="D33" s="12" t="n"/>
      <c r="E33" s="6" t="n"/>
      <c r="F33" s="6" t="n"/>
      <c r="G33" s="6" t="n"/>
      <c r="H33" s="6" t="n"/>
      <c r="I33" s="6" t="n"/>
      <c r="J33" s="7" t="n"/>
      <c r="K33" s="6" t="n"/>
      <c r="L33" s="7" t="n"/>
    </row>
    <row r="34">
      <c r="D34" s="12" t="n"/>
      <c r="E34" s="6" t="n"/>
      <c r="F34" s="6" t="n"/>
      <c r="G34" s="6" t="n"/>
      <c r="H34" s="6" t="n"/>
      <c r="I34" s="6" t="n"/>
      <c r="J34" s="7" t="n"/>
      <c r="K34" s="6" t="n"/>
      <c r="L34" s="7" t="n"/>
    </row>
    <row r="35">
      <c r="D35" s="12" t="n"/>
      <c r="E35" s="6" t="n"/>
      <c r="F35" s="6" t="n"/>
      <c r="G35" s="6" t="n"/>
      <c r="H35" s="6" t="n"/>
      <c r="I35" s="6" t="n"/>
      <c r="J35" s="7" t="n"/>
      <c r="K35" s="6" t="n"/>
      <c r="L35" s="7" t="n"/>
    </row>
    <row r="36">
      <c r="D36" s="12" t="n"/>
      <c r="E36" s="6" t="n"/>
      <c r="F36" s="6" t="n"/>
      <c r="G36" s="6" t="n"/>
      <c r="H36" s="6" t="n"/>
      <c r="I36" s="6" t="n"/>
      <c r="J36" s="7" t="n"/>
      <c r="K36" s="6" t="n"/>
      <c r="L36" s="7" t="n"/>
    </row>
    <row r="37">
      <c r="D37" s="12" t="n"/>
      <c r="E37" s="6" t="n"/>
      <c r="F37" s="6" t="n"/>
      <c r="G37" s="6" t="n"/>
      <c r="H37" s="6" t="n"/>
      <c r="I37" s="6" t="n"/>
      <c r="J37" s="7" t="n"/>
      <c r="K37" s="6" t="n"/>
      <c r="L37" s="7" t="n"/>
    </row>
    <row r="38">
      <c r="D38" s="12" t="n"/>
      <c r="E38" s="6" t="n"/>
      <c r="F38" s="6" t="n"/>
      <c r="G38" s="6" t="n"/>
      <c r="H38" s="6" t="n"/>
      <c r="I38" s="6" t="n"/>
      <c r="J38" s="7" t="n"/>
      <c r="K38" s="6" t="n"/>
      <c r="L38" s="7" t="n"/>
    </row>
    <row r="39">
      <c r="D39" s="12" t="n"/>
      <c r="E39" s="6" t="n"/>
      <c r="F39" s="6" t="n"/>
      <c r="G39" s="6" t="n"/>
      <c r="H39" s="6" t="n"/>
      <c r="I39" s="6" t="n"/>
      <c r="J39" s="7" t="n"/>
      <c r="K39" s="6" t="n"/>
      <c r="L39" s="7" t="n"/>
    </row>
    <row r="40">
      <c r="D40" s="12" t="n"/>
      <c r="E40" s="6" t="n"/>
      <c r="F40" s="6" t="n"/>
      <c r="G40" s="6" t="n"/>
      <c r="H40" s="6" t="n"/>
      <c r="I40" s="6" t="n"/>
      <c r="J40" s="7" t="n"/>
      <c r="K40" s="6" t="n"/>
      <c r="L40" s="7" t="n"/>
    </row>
    <row r="41">
      <c r="D41" s="12" t="n"/>
      <c r="E41" s="6" t="n"/>
      <c r="F41" s="6" t="n"/>
      <c r="G41" s="6" t="n"/>
      <c r="H41" s="6" t="n"/>
      <c r="I41" s="6" t="n"/>
      <c r="J41" s="7" t="n"/>
      <c r="K41" s="6" t="n"/>
      <c r="L41" s="7" t="n"/>
    </row>
    <row r="42">
      <c r="D42" s="12" t="n"/>
      <c r="E42" s="6" t="n"/>
      <c r="F42" s="6" t="n"/>
      <c r="G42" s="6" t="n"/>
      <c r="H42" s="6" t="n"/>
      <c r="I42" s="6" t="n"/>
      <c r="J42" s="7" t="n"/>
      <c r="K42" s="6" t="n"/>
      <c r="L42" s="7" t="n"/>
    </row>
    <row r="43">
      <c r="D43" s="12" t="n"/>
      <c r="E43" s="6" t="n"/>
      <c r="F43" s="6" t="n"/>
      <c r="G43" s="6" t="n"/>
      <c r="H43" s="6" t="n"/>
      <c r="I43" s="6" t="n"/>
      <c r="J43" s="7" t="n"/>
      <c r="K43" s="6" t="n"/>
      <c r="L43" s="7" t="n"/>
    </row>
    <row r="44">
      <c r="D44" s="12" t="n"/>
      <c r="E44" s="6" t="n"/>
      <c r="F44" s="6" t="n"/>
      <c r="G44" s="6" t="n"/>
      <c r="H44" s="6" t="n"/>
      <c r="I44" s="6" t="n"/>
      <c r="J44" s="7" t="n"/>
      <c r="K44" s="6" t="n"/>
      <c r="L44" s="7" t="n"/>
    </row>
    <row r="45">
      <c r="D45" s="12" t="n"/>
      <c r="E45" s="6" t="n"/>
      <c r="F45" s="6" t="n"/>
      <c r="G45" s="6" t="n"/>
      <c r="H45" s="6" t="n"/>
      <c r="I45" s="6" t="n"/>
      <c r="J45" s="7" t="n"/>
      <c r="K45" s="6" t="n"/>
      <c r="L45" s="7" t="n"/>
    </row>
    <row r="46">
      <c r="D46" s="12" t="n"/>
      <c r="E46" s="6" t="n"/>
      <c r="F46" s="6" t="n"/>
      <c r="G46" s="6" t="n"/>
      <c r="H46" s="6" t="n"/>
      <c r="I46" s="6" t="n"/>
      <c r="J46" s="7" t="n"/>
      <c r="K46" s="6" t="n"/>
      <c r="L46" s="7" t="n"/>
    </row>
    <row r="47">
      <c r="D47" s="12" t="n"/>
      <c r="E47" s="6" t="n"/>
      <c r="F47" s="6" t="n"/>
      <c r="G47" s="6" t="n"/>
      <c r="H47" s="6" t="n"/>
      <c r="I47" s="6" t="n"/>
      <c r="J47" s="7" t="n"/>
      <c r="K47" s="6" t="n"/>
      <c r="L47" s="7" t="n"/>
    </row>
    <row r="48">
      <c r="D48" s="12" t="n"/>
      <c r="E48" s="6" t="n"/>
      <c r="F48" s="6" t="n"/>
      <c r="G48" s="6" t="n"/>
      <c r="H48" s="6" t="n"/>
      <c r="I48" s="6" t="n"/>
      <c r="J48" s="7" t="n"/>
      <c r="K48" s="6" t="n"/>
      <c r="L48" s="7" t="n"/>
    </row>
    <row r="49">
      <c r="D49" s="12" t="n"/>
      <c r="E49" s="6" t="n"/>
      <c r="F49" s="6" t="n"/>
      <c r="G49" s="6" t="n"/>
      <c r="H49" s="6" t="n"/>
      <c r="I49" s="6" t="n"/>
      <c r="J49" s="7" t="n"/>
      <c r="K49" s="6" t="n"/>
      <c r="L49" s="7" t="n"/>
    </row>
    <row r="50">
      <c r="D50" s="12" t="n"/>
      <c r="E50" s="6" t="n"/>
      <c r="F50" s="6" t="n"/>
      <c r="G50" s="6" t="n"/>
      <c r="H50" s="6" t="n"/>
      <c r="I50" s="6" t="n"/>
      <c r="J50" s="7" t="n"/>
      <c r="K50" s="6" t="n"/>
      <c r="L50" s="7" t="n"/>
    </row>
    <row r="51">
      <c r="D51" s="12" t="n"/>
      <c r="E51" s="6" t="n"/>
      <c r="F51" s="6" t="n"/>
      <c r="G51" s="6" t="n"/>
      <c r="H51" s="6" t="n"/>
      <c r="I51" s="6" t="n"/>
      <c r="J51" s="7" t="n"/>
      <c r="K51" s="6" t="n"/>
      <c r="L51" s="7" t="n"/>
    </row>
    <row r="52">
      <c r="D52" s="12" t="n"/>
      <c r="E52" s="6" t="n"/>
      <c r="F52" s="6" t="n"/>
      <c r="G52" s="6" t="n"/>
      <c r="H52" s="6" t="n"/>
      <c r="I52" s="6" t="n"/>
      <c r="J52" s="7" t="n"/>
      <c r="K52" s="6" t="n"/>
      <c r="L52" s="7" t="n"/>
    </row>
    <row r="53">
      <c r="D53" s="12" t="n"/>
      <c r="E53" s="6" t="n"/>
      <c r="F53" s="6" t="n"/>
      <c r="G53" s="6" t="n"/>
      <c r="H53" s="6" t="n"/>
      <c r="I53" s="6" t="n"/>
      <c r="J53" s="7" t="n"/>
      <c r="K53" s="6" t="n"/>
      <c r="L53" s="7" t="n"/>
    </row>
    <row r="54">
      <c r="D54" s="12" t="n"/>
      <c r="E54" s="6" t="n"/>
      <c r="F54" s="6" t="n"/>
      <c r="G54" s="6" t="n"/>
      <c r="H54" s="6" t="n"/>
      <c r="I54" s="6" t="n"/>
      <c r="J54" s="7" t="n"/>
      <c r="K54" s="6" t="n"/>
      <c r="L54" s="7" t="n"/>
    </row>
    <row r="55">
      <c r="D55" s="12" t="n"/>
      <c r="E55" s="6" t="n"/>
      <c r="F55" s="6" t="n"/>
      <c r="G55" s="6" t="n"/>
      <c r="H55" s="6" t="n"/>
      <c r="I55" s="6" t="n"/>
      <c r="J55" s="7" t="n"/>
      <c r="K55" s="6" t="n"/>
      <c r="L55" s="7" t="n"/>
    </row>
    <row r="56">
      <c r="D56" s="12" t="n"/>
      <c r="E56" s="6" t="n"/>
      <c r="F56" s="6" t="n"/>
      <c r="G56" s="6" t="n"/>
      <c r="H56" s="6" t="n"/>
      <c r="I56" s="6" t="n"/>
      <c r="J56" s="7" t="n"/>
      <c r="K56" s="6" t="n"/>
      <c r="L56" s="7" t="n"/>
    </row>
    <row r="57">
      <c r="D57" s="12" t="n"/>
      <c r="E57" s="6" t="n"/>
      <c r="F57" s="6" t="n"/>
      <c r="G57" s="6" t="n"/>
      <c r="H57" s="6" t="n"/>
      <c r="I57" s="6" t="n"/>
      <c r="J57" s="7" t="n"/>
      <c r="K57" s="6" t="n"/>
      <c r="L57" s="7" t="n"/>
    </row>
    <row r="58">
      <c r="D58" s="12" t="n"/>
      <c r="E58" s="6" t="n"/>
      <c r="F58" s="6" t="n"/>
      <c r="G58" s="6" t="n"/>
      <c r="H58" s="6" t="n"/>
      <c r="I58" s="6" t="n"/>
      <c r="J58" s="7" t="n"/>
      <c r="K58" s="6" t="n"/>
      <c r="L58" s="7" t="n"/>
    </row>
    <row r="59">
      <c r="D59" s="12" t="n"/>
      <c r="E59" s="6" t="n"/>
      <c r="F59" s="6" t="n"/>
      <c r="G59" s="6" t="n"/>
      <c r="H59" s="6" t="n"/>
      <c r="I59" s="6" t="n"/>
      <c r="J59" s="7" t="n"/>
      <c r="K59" s="6" t="n"/>
      <c r="L59" s="7" t="n"/>
    </row>
    <row r="60">
      <c r="D60" s="12" t="n"/>
      <c r="E60" s="6" t="n"/>
      <c r="F60" s="6" t="n"/>
      <c r="G60" s="6" t="n"/>
      <c r="H60" s="6" t="n"/>
      <c r="I60" s="6" t="n"/>
      <c r="J60" s="7" t="n"/>
      <c r="K60" s="6" t="n"/>
      <c r="L60" s="7" t="n"/>
    </row>
    <row r="61">
      <c r="D61" s="12" t="n"/>
      <c r="E61" s="6" t="n"/>
      <c r="F61" s="6" t="n"/>
      <c r="G61" s="6" t="n"/>
      <c r="H61" s="6" t="n"/>
      <c r="I61" s="6" t="n"/>
      <c r="J61" s="7" t="n"/>
      <c r="K61" s="6" t="n"/>
      <c r="L61" s="7" t="n"/>
    </row>
    <row r="62">
      <c r="D62" s="12" t="n"/>
      <c r="E62" s="6" t="n"/>
      <c r="F62" s="6" t="n"/>
      <c r="G62" s="6" t="n"/>
      <c r="H62" s="6" t="n"/>
      <c r="I62" s="6" t="n"/>
      <c r="J62" s="7" t="n"/>
      <c r="K62" s="6" t="n"/>
      <c r="L62" s="7" t="n"/>
    </row>
    <row r="63">
      <c r="D63" s="12" t="n"/>
      <c r="E63" s="6" t="n"/>
      <c r="F63" s="6" t="n"/>
      <c r="G63" s="6" t="n"/>
      <c r="H63" s="6" t="n"/>
      <c r="I63" s="6" t="n"/>
      <c r="J63" s="7" t="n"/>
      <c r="K63" s="6" t="n"/>
      <c r="L63" s="7" t="n"/>
    </row>
    <row r="64">
      <c r="D64" s="12" t="n"/>
      <c r="E64" s="6" t="n"/>
      <c r="F64" s="6" t="n"/>
      <c r="G64" s="6" t="n"/>
      <c r="H64" s="6" t="n"/>
      <c r="I64" s="6" t="n"/>
      <c r="J64" s="7" t="n"/>
      <c r="K64" s="6" t="n"/>
      <c r="L64" s="7" t="n"/>
    </row>
    <row r="65">
      <c r="D65" s="12" t="n"/>
      <c r="E65" s="6" t="n"/>
      <c r="F65" s="6" t="n"/>
      <c r="G65" s="6" t="n"/>
      <c r="H65" s="6" t="n"/>
      <c r="I65" s="6" t="n"/>
      <c r="J65" s="7" t="n"/>
      <c r="K65" s="6" t="n"/>
      <c r="L65" s="7" t="n"/>
    </row>
    <row r="66">
      <c r="D66" s="12" t="n"/>
      <c r="E66" s="6" t="n"/>
      <c r="F66" s="6" t="n"/>
      <c r="G66" s="6" t="n"/>
      <c r="H66" s="6" t="n"/>
      <c r="I66" s="6" t="n"/>
      <c r="J66" s="7" t="n"/>
      <c r="K66" s="6" t="n"/>
      <c r="L66" s="7" t="n"/>
    </row>
    <row r="67">
      <c r="D67" s="12" t="n"/>
      <c r="E67" s="6" t="n"/>
      <c r="F67" s="6" t="n"/>
      <c r="G67" s="6" t="n"/>
      <c r="H67" s="6" t="n"/>
      <c r="I67" s="6" t="n"/>
      <c r="J67" s="7" t="n"/>
      <c r="K67" s="6" t="n"/>
      <c r="L67" s="7" t="n"/>
    </row>
    <row r="68">
      <c r="D68" s="12" t="n"/>
      <c r="E68" s="6" t="n"/>
      <c r="F68" s="6" t="n"/>
      <c r="G68" s="6" t="n"/>
      <c r="H68" s="6" t="n"/>
      <c r="I68" s="6" t="n"/>
      <c r="J68" s="7" t="n"/>
      <c r="K68" s="6" t="n"/>
      <c r="L68" s="7" t="n"/>
    </row>
    <row r="69">
      <c r="D69" s="12" t="n"/>
      <c r="E69" s="6" t="n"/>
      <c r="F69" s="6" t="n"/>
      <c r="G69" s="6" t="n"/>
      <c r="H69" s="6" t="n"/>
      <c r="I69" s="6" t="n"/>
      <c r="J69" s="7" t="n"/>
      <c r="K69" s="6" t="n"/>
      <c r="L69" s="7" t="n"/>
    </row>
    <row r="70">
      <c r="D70" s="12" t="n"/>
      <c r="E70" s="6" t="n"/>
      <c r="F70" s="6" t="n"/>
      <c r="G70" s="6" t="n"/>
      <c r="H70" s="6" t="n"/>
      <c r="I70" s="6" t="n"/>
      <c r="J70" s="7" t="n"/>
      <c r="K70" s="6" t="n"/>
      <c r="L70" s="7" t="n"/>
    </row>
    <row r="71">
      <c r="D71" s="12" t="n"/>
      <c r="E71" s="6" t="n"/>
      <c r="F71" s="6" t="n"/>
      <c r="G71" s="6" t="n"/>
      <c r="H71" s="6" t="n"/>
      <c r="I71" s="6" t="n"/>
      <c r="J71" s="7" t="n"/>
      <c r="K71" s="6" t="n"/>
      <c r="L71" s="7" t="n"/>
    </row>
    <row r="72">
      <c r="D72" s="12" t="n"/>
      <c r="E72" s="6" t="n"/>
      <c r="F72" s="6" t="n"/>
      <c r="G72" s="6" t="n"/>
      <c r="H72" s="6" t="n"/>
      <c r="I72" s="6" t="n"/>
      <c r="J72" s="7" t="n"/>
      <c r="K72" s="6" t="n"/>
      <c r="L72" s="7" t="n"/>
    </row>
    <row r="73">
      <c r="D73" s="12" t="n"/>
      <c r="E73" s="6" t="n"/>
      <c r="F73" s="6" t="n"/>
      <c r="G73" s="6" t="n"/>
      <c r="H73" s="6" t="n"/>
      <c r="I73" s="6" t="n"/>
      <c r="J73" s="7" t="n"/>
      <c r="K73" s="6" t="n"/>
      <c r="L73" s="7" t="n"/>
    </row>
    <row r="74">
      <c r="D74" s="12" t="n"/>
      <c r="E74" s="6" t="n"/>
      <c r="F74" s="6" t="n"/>
      <c r="G74" s="6" t="n"/>
      <c r="H74" s="6" t="n"/>
      <c r="I74" s="6" t="n"/>
      <c r="J74" s="7" t="n"/>
      <c r="K74" s="6" t="n"/>
      <c r="L74" s="7" t="n"/>
    </row>
    <row r="75">
      <c r="D75" s="12" t="n"/>
      <c r="E75" s="6" t="n"/>
      <c r="F75" s="6" t="n"/>
      <c r="G75" s="6" t="n"/>
      <c r="H75" s="6" t="n"/>
      <c r="I75" s="6" t="n"/>
      <c r="J75" s="7" t="n"/>
      <c r="K75" s="6" t="n"/>
      <c r="L75" s="7" t="n"/>
    </row>
    <row r="76">
      <c r="D76" s="12" t="n"/>
      <c r="E76" s="6" t="n"/>
      <c r="F76" s="6" t="n"/>
      <c r="G76" s="6" t="n"/>
      <c r="H76" s="6" t="n"/>
      <c r="I76" s="6" t="n"/>
      <c r="J76" s="7" t="n"/>
      <c r="K76" s="6" t="n"/>
      <c r="L76" s="7" t="n"/>
    </row>
    <row r="77">
      <c r="D77" s="12" t="n"/>
      <c r="E77" s="6" t="n"/>
      <c r="F77" s="6" t="n"/>
      <c r="G77" s="6" t="n"/>
      <c r="H77" s="6" t="n"/>
      <c r="I77" s="6" t="n"/>
      <c r="J77" s="7" t="n"/>
      <c r="K77" s="6" t="n"/>
      <c r="L77" s="7" t="n"/>
    </row>
    <row r="78">
      <c r="D78" s="12" t="n"/>
      <c r="E78" s="6" t="n"/>
      <c r="F78" s="6" t="n"/>
      <c r="G78" s="6" t="n"/>
      <c r="H78" s="6" t="n"/>
      <c r="I78" s="6" t="n"/>
      <c r="J78" s="7" t="n"/>
      <c r="K78" s="6" t="n"/>
      <c r="L78" s="7" t="n"/>
    </row>
    <row r="79">
      <c r="D79" s="12" t="n"/>
      <c r="E79" s="6" t="n"/>
      <c r="F79" s="6" t="n"/>
      <c r="G79" s="6" t="n"/>
      <c r="H79" s="6" t="n"/>
      <c r="I79" s="6" t="n"/>
      <c r="J79" s="7" t="n"/>
      <c r="K79" s="6" t="n"/>
      <c r="L79" s="7" t="n"/>
    </row>
    <row r="80">
      <c r="D80" s="12" t="n"/>
      <c r="E80" s="6" t="n"/>
      <c r="F80" s="6" t="n"/>
      <c r="G80" s="6" t="n"/>
      <c r="H80" s="6" t="n"/>
      <c r="I80" s="6" t="n"/>
      <c r="J80" s="7" t="n"/>
      <c r="K80" s="6" t="n"/>
      <c r="L80" s="7" t="n"/>
    </row>
    <row r="81">
      <c r="D81" s="12" t="n"/>
      <c r="E81" s="6" t="n"/>
      <c r="F81" s="6" t="n"/>
      <c r="G81" s="6" t="n"/>
      <c r="H81" s="6" t="n"/>
      <c r="I81" s="6" t="n"/>
      <c r="J81" s="7" t="n"/>
      <c r="K81" s="6" t="n"/>
      <c r="L81" s="7" t="n"/>
    </row>
    <row r="82">
      <c r="D82" s="12" t="n"/>
      <c r="E82" s="6" t="n"/>
      <c r="F82" s="6" t="n"/>
      <c r="G82" s="6" t="n"/>
      <c r="H82" s="6" t="n"/>
      <c r="I82" s="6" t="n"/>
      <c r="J82" s="7" t="n"/>
      <c r="K82" s="6" t="n"/>
      <c r="L82" s="7" t="n"/>
    </row>
    <row r="83">
      <c r="D83" s="12" t="n"/>
      <c r="E83" s="6" t="n"/>
      <c r="F83" s="6" t="n"/>
      <c r="G83" s="6" t="n"/>
      <c r="H83" s="6" t="n"/>
      <c r="I83" s="6" t="n"/>
      <c r="J83" s="7" t="n"/>
      <c r="K83" s="6" t="n"/>
      <c r="L83" s="7" t="n"/>
    </row>
    <row r="84">
      <c r="D84" s="12" t="n"/>
      <c r="E84" s="6" t="n"/>
      <c r="F84" s="6" t="n"/>
      <c r="G84" s="6" t="n"/>
      <c r="H84" s="6" t="n"/>
      <c r="I84" s="6" t="n"/>
      <c r="J84" s="7" t="n"/>
      <c r="K84" s="6" t="n"/>
      <c r="L84" s="7" t="n"/>
    </row>
    <row r="85">
      <c r="D85" s="12" t="n"/>
      <c r="E85" s="6" t="n"/>
      <c r="F85" s="6" t="n"/>
      <c r="G85" s="6" t="n"/>
      <c r="H85" s="6" t="n"/>
      <c r="I85" s="6" t="n"/>
      <c r="J85" s="7" t="n"/>
      <c r="K85" s="6" t="n"/>
      <c r="L85" s="7" t="n"/>
    </row>
    <row r="86">
      <c r="D86" s="12" t="n"/>
      <c r="E86" s="6" t="n"/>
      <c r="F86" s="6" t="n"/>
      <c r="G86" s="6" t="n"/>
      <c r="H86" s="6" t="n"/>
      <c r="I86" s="6" t="n"/>
      <c r="J86" s="7" t="n"/>
      <c r="K86" s="6" t="n"/>
      <c r="L86" s="7" t="n"/>
    </row>
    <row r="87">
      <c r="D87" s="12" t="n"/>
      <c r="E87" s="6" t="n"/>
      <c r="F87" s="6" t="n"/>
      <c r="G87" s="6" t="n"/>
      <c r="H87" s="6" t="n"/>
      <c r="I87" s="6" t="n"/>
      <c r="J87" s="7" t="n"/>
      <c r="K87" s="6" t="n"/>
      <c r="L87" s="7" t="n"/>
    </row>
    <row r="88">
      <c r="D88" s="12" t="n"/>
      <c r="E88" s="6" t="n"/>
      <c r="F88" s="6" t="n"/>
      <c r="G88" s="6" t="n"/>
      <c r="H88" s="6" t="n"/>
      <c r="I88" s="6" t="n"/>
      <c r="J88" s="7" t="n"/>
      <c r="K88" s="6" t="n"/>
      <c r="L88" s="7" t="n"/>
    </row>
    <row r="89">
      <c r="D89" s="12" t="n"/>
      <c r="E89" s="6" t="n"/>
      <c r="F89" s="6" t="n"/>
      <c r="G89" s="6" t="n"/>
      <c r="H89" s="6" t="n"/>
      <c r="I89" s="6" t="n"/>
      <c r="J89" s="7" t="n"/>
      <c r="K89" s="6" t="n"/>
      <c r="L89" s="7" t="n"/>
    </row>
    <row r="90">
      <c r="D90" s="12" t="n"/>
      <c r="E90" s="6" t="n"/>
      <c r="F90" s="6" t="n"/>
      <c r="G90" s="6" t="n"/>
      <c r="H90" s="6" t="n"/>
      <c r="I90" s="6" t="n"/>
      <c r="J90" s="7" t="n"/>
      <c r="K90" s="6" t="n"/>
      <c r="L90" s="7" t="n"/>
    </row>
    <row r="91">
      <c r="D91" s="12" t="n"/>
      <c r="E91" s="6" t="n"/>
      <c r="F91" s="6" t="n"/>
      <c r="G91" s="6" t="n"/>
      <c r="H91" s="6" t="n"/>
      <c r="I91" s="6" t="n"/>
      <c r="J91" s="7" t="n"/>
      <c r="K91" s="6" t="n"/>
      <c r="L91" s="7" t="n"/>
    </row>
    <row r="92">
      <c r="D92" s="12" t="n"/>
      <c r="E92" s="6" t="n"/>
      <c r="F92" s="6" t="n"/>
      <c r="G92" s="6" t="n"/>
      <c r="H92" s="6" t="n"/>
      <c r="I92" s="6" t="n"/>
      <c r="J92" s="7" t="n"/>
      <c r="K92" s="6" t="n"/>
      <c r="L92" s="7" t="n"/>
    </row>
    <row r="93">
      <c r="D93" s="12" t="n"/>
      <c r="E93" s="6" t="n"/>
      <c r="F93" s="6" t="n"/>
      <c r="G93" s="6" t="n"/>
      <c r="H93" s="6" t="n"/>
      <c r="I93" s="6" t="n"/>
      <c r="J93" s="7" t="n"/>
      <c r="K93" s="6" t="n"/>
      <c r="L93" s="7" t="n"/>
    </row>
    <row r="94">
      <c r="D94" s="12" t="n"/>
      <c r="E94" s="6" t="n"/>
      <c r="F94" s="6" t="n"/>
      <c r="G94" s="6" t="n"/>
      <c r="H94" s="6" t="n"/>
      <c r="I94" s="6" t="n"/>
      <c r="J94" s="7" t="n"/>
      <c r="K94" s="6" t="n"/>
      <c r="L94" s="7" t="n"/>
    </row>
    <row r="95">
      <c r="D95" s="12" t="n"/>
      <c r="E95" s="6" t="n"/>
      <c r="F95" s="6" t="n"/>
      <c r="G95" s="6" t="n"/>
      <c r="H95" s="6" t="n"/>
      <c r="I95" s="6" t="n"/>
      <c r="J95" s="7" t="n"/>
      <c r="K95" s="6" t="n"/>
      <c r="L95" s="7" t="n"/>
    </row>
    <row r="96">
      <c r="D96" s="12" t="n"/>
      <c r="E96" s="6" t="n"/>
      <c r="F96" s="6" t="n"/>
      <c r="G96" s="6" t="n"/>
      <c r="H96" s="6" t="n"/>
      <c r="I96" s="6" t="n"/>
      <c r="J96" s="7" t="n"/>
      <c r="K96" s="6" t="n"/>
      <c r="L96" s="7" t="n"/>
    </row>
    <row r="97">
      <c r="D97" s="12" t="n"/>
      <c r="E97" s="6" t="n"/>
      <c r="F97" s="6" t="n"/>
      <c r="G97" s="6" t="n"/>
      <c r="H97" s="6" t="n"/>
      <c r="I97" s="6" t="n"/>
      <c r="J97" s="7" t="n"/>
      <c r="K97" s="6" t="n"/>
      <c r="L97" s="7" t="n"/>
    </row>
    <row r="98">
      <c r="D98" s="12" t="n"/>
      <c r="E98" s="6" t="n"/>
      <c r="F98" s="6" t="n"/>
      <c r="G98" s="6" t="n"/>
      <c r="H98" s="6" t="n"/>
      <c r="I98" s="6" t="n"/>
      <c r="J98" s="7" t="n"/>
      <c r="K98" s="6" t="n"/>
      <c r="L98" s="7" t="n"/>
    </row>
    <row r="99">
      <c r="D99" s="12" t="n"/>
      <c r="E99" s="6" t="n"/>
      <c r="F99" s="6" t="n"/>
      <c r="G99" s="6" t="n"/>
      <c r="H99" s="6" t="n"/>
      <c r="I99" s="6" t="n"/>
      <c r="J99" s="7" t="n"/>
      <c r="K99" s="6" t="n"/>
      <c r="L99" s="7" t="n"/>
    </row>
    <row r="100">
      <c r="D100" s="12" t="n"/>
      <c r="E100" s="6" t="n"/>
      <c r="F100" s="6" t="n"/>
      <c r="G100" s="6" t="n"/>
      <c r="H100" s="6" t="n"/>
      <c r="I100" s="6" t="n"/>
      <c r="J100" s="7" t="n"/>
      <c r="K100" s="6" t="n"/>
      <c r="L100" s="7" t="n"/>
    </row>
    <row r="101">
      <c r="D101" s="12" t="n"/>
      <c r="E101" s="6" t="n"/>
      <c r="F101" s="6" t="n"/>
      <c r="G101" s="6" t="n"/>
      <c r="H101" s="6" t="n"/>
      <c r="I101" s="6" t="n"/>
      <c r="J101" s="7" t="n"/>
      <c r="K101" s="6" t="n"/>
      <c r="L101" s="7" t="n"/>
    </row>
    <row r="102">
      <c r="D102" s="12" t="n"/>
      <c r="E102" s="6" t="n"/>
      <c r="F102" s="6" t="n"/>
      <c r="G102" s="6" t="n"/>
      <c r="H102" s="6" t="n"/>
      <c r="I102" s="6" t="n"/>
      <c r="J102" s="7" t="n"/>
      <c r="K102" s="6" t="n"/>
      <c r="L102" s="7" t="n"/>
    </row>
    <row r="103">
      <c r="D103" s="12" t="n"/>
      <c r="E103" s="6" t="n"/>
      <c r="F103" s="6" t="n"/>
      <c r="G103" s="6" t="n"/>
      <c r="H103" s="6" t="n"/>
      <c r="I103" s="6" t="n"/>
      <c r="J103" s="7" t="n"/>
      <c r="K103" s="6" t="n"/>
      <c r="L103" s="7" t="n"/>
    </row>
    <row r="104">
      <c r="D104" s="12" t="n"/>
      <c r="E104" s="6" t="n"/>
      <c r="F104" s="6" t="n"/>
      <c r="G104" s="6" t="n"/>
      <c r="H104" s="6" t="n"/>
      <c r="I104" s="6" t="n"/>
      <c r="J104" s="7" t="n"/>
      <c r="K104" s="6" t="n"/>
      <c r="L104" s="7" t="n"/>
    </row>
    <row r="105">
      <c r="D105" s="12" t="n"/>
      <c r="E105" s="6" t="n"/>
      <c r="F105" s="6" t="n"/>
      <c r="G105" s="6" t="n"/>
      <c r="H105" s="6" t="n"/>
      <c r="I105" s="6" t="n"/>
      <c r="J105" s="7" t="n"/>
      <c r="K105" s="6" t="n"/>
      <c r="L105" s="7" t="n"/>
    </row>
    <row r="106">
      <c r="D106" s="12" t="n"/>
      <c r="E106" s="6" t="n"/>
      <c r="F106" s="6" t="n"/>
      <c r="G106" s="6" t="n"/>
      <c r="H106" s="6" t="n"/>
      <c r="I106" s="6" t="n"/>
      <c r="J106" s="7" t="n"/>
      <c r="K106" s="6" t="n"/>
      <c r="L106" s="7" t="n"/>
    </row>
    <row r="107">
      <c r="D107" s="12" t="n"/>
      <c r="E107" s="6" t="n"/>
      <c r="F107" s="6" t="n"/>
      <c r="G107" s="6" t="n"/>
      <c r="H107" s="6" t="n"/>
      <c r="I107" s="6" t="n"/>
      <c r="J107" s="7" t="n"/>
      <c r="K107" s="6" t="n"/>
      <c r="L107" s="7" t="n"/>
    </row>
    <row r="108">
      <c r="D108" s="12" t="n"/>
      <c r="E108" s="6" t="n"/>
      <c r="F108" s="6" t="n"/>
      <c r="G108" s="6" t="n"/>
      <c r="H108" s="6" t="n"/>
      <c r="I108" s="6" t="n"/>
      <c r="J108" s="7" t="n"/>
      <c r="K108" s="6" t="n"/>
      <c r="L108" s="7" t="n"/>
    </row>
    <row r="109">
      <c r="D109" s="12" t="n"/>
      <c r="E109" s="6" t="n"/>
      <c r="F109" s="6" t="n"/>
      <c r="G109" s="6" t="n"/>
      <c r="H109" s="6" t="n"/>
      <c r="I109" s="6" t="n"/>
      <c r="J109" s="7" t="n"/>
      <c r="K109" s="6" t="n"/>
      <c r="L109" s="7" t="n"/>
    </row>
    <row r="110">
      <c r="D110" s="12" t="n"/>
      <c r="E110" s="6" t="n"/>
      <c r="F110" s="6" t="n"/>
      <c r="G110" s="6" t="n"/>
      <c r="H110" s="6" t="n"/>
      <c r="I110" s="6" t="n"/>
      <c r="J110" s="7" t="n"/>
      <c r="K110" s="6" t="n"/>
      <c r="L110" s="7" t="n"/>
    </row>
    <row r="111">
      <c r="D111" s="12" t="n"/>
      <c r="E111" s="6" t="n"/>
      <c r="F111" s="6" t="n"/>
      <c r="G111" s="6" t="n"/>
      <c r="H111" s="6" t="n"/>
      <c r="I111" s="6" t="n"/>
      <c r="J111" s="7" t="n"/>
      <c r="K111" s="6" t="n"/>
      <c r="L111" s="7" t="n"/>
    </row>
    <row r="112">
      <c r="D112" s="12" t="n"/>
      <c r="E112" s="6" t="n"/>
      <c r="F112" s="6" t="n"/>
      <c r="G112" s="6" t="n"/>
      <c r="H112" s="6" t="n"/>
      <c r="I112" s="6" t="n"/>
      <c r="J112" s="7" t="n"/>
      <c r="K112" s="6" t="n"/>
      <c r="L112" s="7" t="n"/>
    </row>
    <row r="113">
      <c r="D113" s="12" t="n"/>
      <c r="E113" s="6" t="n"/>
      <c r="F113" s="6" t="n"/>
      <c r="G113" s="6" t="n"/>
      <c r="H113" s="6" t="n"/>
      <c r="I113" s="6" t="n"/>
      <c r="J113" s="7" t="n"/>
      <c r="K113" s="6" t="n"/>
      <c r="L113" s="7" t="n"/>
    </row>
    <row r="114">
      <c r="D114" s="12" t="n"/>
      <c r="E114" s="6" t="n"/>
      <c r="F114" s="6" t="n"/>
      <c r="G114" s="6" t="n"/>
      <c r="H114" s="6" t="n"/>
      <c r="I114" s="6" t="n"/>
      <c r="J114" s="7" t="n"/>
      <c r="K114" s="6" t="n"/>
      <c r="L114" s="7" t="n"/>
    </row>
    <row r="115">
      <c r="D115" s="12" t="n"/>
      <c r="E115" s="6" t="n"/>
      <c r="F115" s="6" t="n"/>
      <c r="G115" s="6" t="n"/>
      <c r="H115" s="6" t="n"/>
      <c r="I115" s="6" t="n"/>
      <c r="J115" s="7" t="n"/>
      <c r="K115" s="6" t="n"/>
      <c r="L115" s="7" t="n"/>
    </row>
    <row r="116">
      <c r="D116" s="12" t="n"/>
      <c r="E116" s="6" t="n"/>
      <c r="F116" s="6" t="n"/>
      <c r="G116" s="6" t="n"/>
      <c r="H116" s="6" t="n"/>
      <c r="I116" s="6" t="n"/>
      <c r="J116" s="7" t="n"/>
      <c r="K116" s="6" t="n"/>
      <c r="L116" s="7" t="n"/>
    </row>
    <row r="117">
      <c r="D117" s="12" t="n"/>
      <c r="E117" s="6" t="n"/>
      <c r="F117" s="6" t="n"/>
      <c r="G117" s="6" t="n"/>
      <c r="H117" s="6" t="n"/>
      <c r="I117" s="6" t="n"/>
      <c r="J117" s="7" t="n"/>
      <c r="K117" s="6" t="n"/>
      <c r="L117" s="7" t="n"/>
    </row>
    <row r="118">
      <c r="D118" s="12" t="n"/>
      <c r="E118" s="6" t="n"/>
      <c r="F118" s="6" t="n"/>
      <c r="G118" s="6" t="n"/>
      <c r="H118" s="6" t="n"/>
      <c r="I118" s="6" t="n"/>
      <c r="J118" s="7" t="n"/>
      <c r="K118" s="6" t="n"/>
      <c r="L118" s="7" t="n"/>
    </row>
    <row r="119">
      <c r="D119" s="12" t="n"/>
      <c r="E119" s="6" t="n"/>
      <c r="F119" s="6" t="n"/>
      <c r="G119" s="6" t="n"/>
      <c r="H119" s="6" t="n"/>
      <c r="I119" s="6" t="n"/>
      <c r="J119" s="7" t="n"/>
      <c r="K119" s="6" t="n"/>
      <c r="L119" s="7" t="n"/>
    </row>
    <row r="120">
      <c r="D120" s="12" t="n"/>
      <c r="E120" s="6" t="n"/>
      <c r="F120" s="6" t="n"/>
      <c r="G120" s="6" t="n"/>
      <c r="H120" s="6" t="n"/>
      <c r="I120" s="6" t="n"/>
      <c r="J120" s="7" t="n"/>
      <c r="K120" s="6" t="n"/>
      <c r="L120" s="7" t="n"/>
    </row>
    <row r="121">
      <c r="D121" s="12" t="n"/>
      <c r="E121" s="6" t="n"/>
      <c r="F121" s="6" t="n"/>
      <c r="G121" s="6" t="n"/>
      <c r="H121" s="6" t="n"/>
      <c r="I121" s="6" t="n"/>
      <c r="J121" s="7" t="n"/>
      <c r="K121" s="6" t="n"/>
      <c r="L121" s="7" t="n"/>
    </row>
    <row r="122">
      <c r="D122" s="12" t="n"/>
      <c r="E122" s="6" t="n"/>
      <c r="F122" s="6" t="n"/>
      <c r="G122" s="6" t="n"/>
      <c r="H122" s="6" t="n"/>
      <c r="I122" s="6" t="n"/>
      <c r="J122" s="7" t="n"/>
      <c r="K122" s="6" t="n"/>
      <c r="L122" s="7" t="n"/>
    </row>
    <row r="123">
      <c r="D123" s="12" t="n"/>
      <c r="E123" s="6" t="n"/>
      <c r="F123" s="6" t="n"/>
      <c r="G123" s="6" t="n"/>
      <c r="H123" s="6" t="n"/>
      <c r="I123" s="6" t="n"/>
      <c r="J123" s="7" t="n"/>
      <c r="K123" s="6" t="n"/>
      <c r="L123" s="7" t="n"/>
    </row>
    <row r="124">
      <c r="D124" s="12" t="n"/>
      <c r="E124" s="6" t="n"/>
      <c r="F124" s="6" t="n"/>
      <c r="G124" s="6" t="n"/>
      <c r="H124" s="6" t="n"/>
      <c r="I124" s="6" t="n"/>
      <c r="J124" s="7" t="n"/>
      <c r="K124" s="6" t="n"/>
      <c r="L124" s="7" t="n"/>
    </row>
    <row r="125">
      <c r="D125" s="12" t="n"/>
      <c r="E125" s="6" t="n"/>
      <c r="F125" s="6" t="n"/>
      <c r="G125" s="6" t="n"/>
      <c r="H125" s="6" t="n"/>
      <c r="I125" s="6" t="n"/>
      <c r="J125" s="7" t="n"/>
      <c r="K125" s="6" t="n"/>
      <c r="L125" s="7" t="n"/>
    </row>
    <row r="126">
      <c r="D126" s="12" t="n"/>
      <c r="E126" s="6" t="n"/>
      <c r="F126" s="6" t="n"/>
      <c r="G126" s="6" t="n"/>
      <c r="H126" s="6" t="n"/>
      <c r="I126" s="6" t="n"/>
      <c r="J126" s="7" t="n"/>
      <c r="K126" s="6" t="n"/>
      <c r="L126" s="7" t="n"/>
    </row>
    <row r="127">
      <c r="D127" s="12" t="n"/>
      <c r="E127" s="6" t="n"/>
      <c r="F127" s="6" t="n"/>
      <c r="G127" s="6" t="n"/>
      <c r="H127" s="6" t="n"/>
      <c r="I127" s="6" t="n"/>
      <c r="J127" s="7" t="n"/>
      <c r="K127" s="6" t="n"/>
      <c r="L127" s="7" t="n"/>
    </row>
    <row r="128">
      <c r="D128" s="12" t="n"/>
      <c r="E128" s="6" t="n"/>
      <c r="F128" s="6" t="n"/>
      <c r="G128" s="6" t="n"/>
      <c r="H128" s="6" t="n"/>
      <c r="I128" s="6" t="n"/>
      <c r="J128" s="7" t="n"/>
      <c r="K128" s="6" t="n"/>
      <c r="L128" s="7" t="n"/>
    </row>
    <row r="129">
      <c r="D129" s="12" t="n"/>
      <c r="E129" s="6" t="n"/>
      <c r="F129" s="6" t="n"/>
      <c r="G129" s="6" t="n"/>
      <c r="H129" s="6" t="n"/>
      <c r="I129" s="6" t="n"/>
      <c r="J129" s="7" t="n"/>
      <c r="K129" s="6" t="n"/>
      <c r="L129" s="7" t="n"/>
    </row>
    <row r="130">
      <c r="D130" s="12" t="n"/>
      <c r="E130" s="6" t="n"/>
      <c r="F130" s="6" t="n"/>
      <c r="G130" s="6" t="n"/>
      <c r="H130" s="6" t="n"/>
      <c r="I130" s="6" t="n"/>
      <c r="J130" s="7" t="n"/>
      <c r="K130" s="6" t="n"/>
      <c r="L130" s="7" t="n"/>
    </row>
    <row r="131">
      <c r="D131" s="12" t="n"/>
      <c r="E131" s="6" t="n"/>
      <c r="F131" s="6" t="n"/>
      <c r="G131" s="6" t="n"/>
      <c r="H131" s="6" t="n"/>
      <c r="I131" s="6" t="n"/>
      <c r="J131" s="7" t="n"/>
      <c r="K131" s="6" t="n"/>
      <c r="L131" s="7" t="n"/>
    </row>
    <row r="132">
      <c r="D132" s="12" t="n"/>
      <c r="E132" s="6" t="n"/>
      <c r="F132" s="6" t="n"/>
      <c r="G132" s="6" t="n"/>
      <c r="H132" s="6" t="n"/>
      <c r="I132" s="6" t="n"/>
      <c r="J132" s="7" t="n"/>
      <c r="K132" s="6" t="n"/>
      <c r="L132" s="7" t="n"/>
    </row>
    <row r="133">
      <c r="D133" s="12" t="n"/>
      <c r="E133" s="6" t="n"/>
      <c r="F133" s="6" t="n"/>
      <c r="G133" s="6" t="n"/>
      <c r="H133" s="6" t="n"/>
      <c r="I133" s="6" t="n"/>
      <c r="J133" s="7" t="n"/>
      <c r="K133" s="6" t="n"/>
      <c r="L133" s="7" t="n"/>
    </row>
    <row r="134">
      <c r="D134" s="12" t="n"/>
      <c r="E134" s="6" t="n"/>
      <c r="F134" s="6" t="n"/>
      <c r="G134" s="6" t="n"/>
      <c r="H134" s="6" t="n"/>
      <c r="I134" s="6" t="n"/>
      <c r="J134" s="7" t="n"/>
      <c r="K134" s="6" t="n"/>
      <c r="L134" s="7" t="n"/>
    </row>
    <row r="135">
      <c r="D135" s="12" t="n"/>
      <c r="E135" s="6" t="n"/>
      <c r="F135" s="6" t="n"/>
      <c r="G135" s="6" t="n"/>
      <c r="H135" s="6" t="n"/>
      <c r="I135" s="6" t="n"/>
      <c r="J135" s="7" t="n"/>
      <c r="K135" s="6" t="n"/>
      <c r="L135" s="7" t="n"/>
    </row>
    <row r="136">
      <c r="D136" s="12" t="n"/>
      <c r="E136" s="6" t="n"/>
      <c r="F136" s="6" t="n"/>
      <c r="G136" s="6" t="n"/>
      <c r="H136" s="6" t="n"/>
      <c r="I136" s="6" t="n"/>
      <c r="J136" s="7" t="n"/>
      <c r="K136" s="6" t="n"/>
      <c r="L136" s="7" t="n"/>
    </row>
    <row r="137">
      <c r="D137" s="12" t="n"/>
      <c r="E137" s="6" t="n"/>
      <c r="F137" s="6" t="n"/>
      <c r="G137" s="6" t="n"/>
      <c r="H137" s="6" t="n"/>
      <c r="I137" s="6" t="n"/>
      <c r="J137" s="7" t="n"/>
      <c r="K137" s="6" t="n"/>
      <c r="L137" s="7" t="n"/>
    </row>
    <row r="138">
      <c r="D138" s="12" t="n"/>
      <c r="E138" s="6" t="n"/>
      <c r="F138" s="6" t="n"/>
      <c r="G138" s="6" t="n"/>
      <c r="H138" s="6" t="n"/>
      <c r="I138" s="6" t="n"/>
      <c r="J138" s="7" t="n"/>
      <c r="K138" s="6" t="n"/>
      <c r="L138" s="7" t="n"/>
    </row>
    <row r="139">
      <c r="D139" s="12" t="n"/>
      <c r="E139" s="6" t="n"/>
      <c r="F139" s="6" t="n"/>
      <c r="G139" s="6" t="n"/>
      <c r="H139" s="6" t="n"/>
      <c r="I139" s="6" t="n"/>
      <c r="J139" s="7" t="n"/>
      <c r="K139" s="6" t="n"/>
      <c r="L139" s="7" t="n"/>
    </row>
    <row r="140">
      <c r="D140" s="12" t="n"/>
      <c r="E140" s="6" t="n"/>
      <c r="F140" s="6" t="n"/>
      <c r="G140" s="6" t="n"/>
      <c r="H140" s="6" t="n"/>
      <c r="I140" s="6" t="n"/>
      <c r="J140" s="7" t="n"/>
      <c r="K140" s="6" t="n"/>
      <c r="L140" s="7" t="n"/>
    </row>
    <row r="141">
      <c r="D141" s="12" t="n"/>
      <c r="E141" s="6" t="n"/>
      <c r="F141" s="6" t="n"/>
      <c r="G141" s="6" t="n"/>
      <c r="H141" s="6" t="n"/>
      <c r="I141" s="6" t="n"/>
      <c r="J141" s="7" t="n"/>
      <c r="K141" s="6" t="n"/>
      <c r="L141" s="7" t="n"/>
    </row>
    <row r="142">
      <c r="D142" s="12" t="n"/>
      <c r="E142" s="6" t="n"/>
      <c r="F142" s="6" t="n"/>
      <c r="G142" s="6" t="n"/>
      <c r="H142" s="6" t="n"/>
      <c r="I142" s="6" t="n"/>
      <c r="J142" s="7" t="n"/>
      <c r="K142" s="6" t="n"/>
      <c r="L142" s="7" t="n"/>
    </row>
    <row r="143">
      <c r="D143" s="12" t="n"/>
      <c r="E143" s="6" t="n"/>
      <c r="F143" s="6" t="n"/>
      <c r="G143" s="6" t="n"/>
      <c r="H143" s="6" t="n"/>
      <c r="I143" s="6" t="n"/>
      <c r="J143" s="7" t="n"/>
      <c r="K143" s="6" t="n"/>
      <c r="L143" s="7" t="n"/>
    </row>
    <row r="144">
      <c r="D144" s="12" t="n"/>
      <c r="E144" s="6" t="n"/>
      <c r="F144" s="6" t="n"/>
      <c r="G144" s="6" t="n"/>
      <c r="H144" s="6" t="n"/>
      <c r="I144" s="6" t="n"/>
      <c r="J144" s="7" t="n"/>
      <c r="K144" s="6" t="n"/>
      <c r="L144" s="7" t="n"/>
    </row>
    <row r="145">
      <c r="D145" s="12" t="n"/>
      <c r="E145" s="6" t="n"/>
      <c r="F145" s="6" t="n"/>
      <c r="G145" s="6" t="n"/>
      <c r="H145" s="6" t="n"/>
      <c r="I145" s="6" t="n"/>
      <c r="J145" s="7" t="n"/>
      <c r="K145" s="6" t="n"/>
      <c r="L145" s="7" t="n"/>
    </row>
    <row r="146">
      <c r="D146" s="12" t="n"/>
      <c r="E146" s="6" t="n"/>
      <c r="F146" s="6" t="n"/>
      <c r="G146" s="6" t="n"/>
      <c r="H146" s="6" t="n"/>
      <c r="I146" s="6" t="n"/>
      <c r="J146" s="7" t="n"/>
      <c r="K146" s="6" t="n"/>
      <c r="L146" s="7" t="n"/>
    </row>
    <row r="147">
      <c r="D147" s="12" t="n"/>
      <c r="E147" s="6" t="n"/>
      <c r="F147" s="6" t="n"/>
      <c r="G147" s="6" t="n"/>
      <c r="H147" s="6" t="n"/>
      <c r="I147" s="6" t="n"/>
      <c r="J147" s="7" t="n"/>
      <c r="K147" s="6" t="n"/>
      <c r="L147" s="7" t="n"/>
    </row>
    <row r="148">
      <c r="D148" s="12" t="n"/>
      <c r="E148" s="6" t="n"/>
      <c r="F148" s="6" t="n"/>
      <c r="G148" s="6" t="n"/>
      <c r="H148" s="6" t="n"/>
      <c r="I148" s="6" t="n"/>
      <c r="J148" s="7" t="n"/>
      <c r="K148" s="6" t="n"/>
      <c r="L148" s="7" t="n"/>
    </row>
    <row r="149">
      <c r="D149" s="12" t="n"/>
      <c r="E149" s="6" t="n"/>
      <c r="F149" s="6" t="n"/>
      <c r="G149" s="6" t="n"/>
      <c r="H149" s="6" t="n"/>
      <c r="I149" s="6" t="n"/>
      <c r="J149" s="7" t="n"/>
      <c r="K149" s="6" t="n"/>
      <c r="L149" s="7" t="n"/>
    </row>
    <row r="150">
      <c r="D150" s="12" t="n"/>
      <c r="E150" s="6" t="n"/>
      <c r="F150" s="6" t="n"/>
      <c r="G150" s="6" t="n"/>
      <c r="H150" s="6" t="n"/>
      <c r="I150" s="6" t="n"/>
      <c r="J150" s="7" t="n"/>
      <c r="K150" s="6" t="n"/>
      <c r="L150" s="7" t="n"/>
    </row>
    <row r="151">
      <c r="D151" s="12" t="n"/>
      <c r="E151" s="6" t="n"/>
      <c r="F151" s="6" t="n"/>
      <c r="G151" s="6" t="n"/>
      <c r="H151" s="6" t="n"/>
      <c r="I151" s="6" t="n"/>
      <c r="J151" s="7" t="n"/>
      <c r="K151" s="6" t="n"/>
      <c r="L151" s="7" t="n"/>
    </row>
    <row r="152">
      <c r="D152" s="12" t="n"/>
      <c r="E152" s="6" t="n"/>
      <c r="F152" s="6" t="n"/>
      <c r="G152" s="6" t="n"/>
      <c r="H152" s="6" t="n"/>
      <c r="I152" s="6" t="n"/>
      <c r="J152" s="7" t="n"/>
      <c r="K152" s="6" t="n"/>
      <c r="L152" s="7" t="n"/>
    </row>
    <row r="153">
      <c r="D153" s="12" t="n"/>
      <c r="E153" s="6" t="n"/>
      <c r="F153" s="6" t="n"/>
      <c r="G153" s="6" t="n"/>
      <c r="H153" s="6" t="n"/>
      <c r="I153" s="6" t="n"/>
      <c r="J153" s="7" t="n"/>
      <c r="K153" s="6" t="n"/>
      <c r="L153" s="7" t="n"/>
    </row>
    <row r="154">
      <c r="D154" s="12" t="n"/>
      <c r="E154" s="6" t="n"/>
      <c r="F154" s="6" t="n"/>
      <c r="G154" s="6" t="n"/>
      <c r="H154" s="6" t="n"/>
      <c r="I154" s="6" t="n"/>
      <c r="J154" s="7" t="n"/>
      <c r="K154" s="6" t="n"/>
      <c r="L154" s="7" t="n"/>
    </row>
    <row r="155">
      <c r="D155" s="12" t="n"/>
      <c r="E155" s="6" t="n"/>
      <c r="F155" s="6" t="n"/>
      <c r="G155" s="6" t="n"/>
      <c r="H155" s="6" t="n"/>
      <c r="I155" s="6" t="n"/>
      <c r="J155" s="7" t="n"/>
      <c r="K155" s="6" t="n"/>
      <c r="L155" s="7" t="n"/>
    </row>
    <row r="156">
      <c r="D156" s="12" t="n"/>
      <c r="E156" s="6" t="n"/>
      <c r="F156" s="6" t="n"/>
      <c r="G156" s="6" t="n"/>
      <c r="H156" s="6" t="n"/>
      <c r="I156" s="6" t="n"/>
      <c r="J156" s="7" t="n"/>
      <c r="K156" s="6" t="n"/>
      <c r="L156" s="7" t="n"/>
    </row>
    <row r="157">
      <c r="D157" s="12" t="n"/>
      <c r="E157" s="6" t="n"/>
      <c r="F157" s="6" t="n"/>
      <c r="G157" s="6" t="n"/>
      <c r="H157" s="6" t="n"/>
      <c r="I157" s="6" t="n"/>
      <c r="J157" s="7" t="n"/>
      <c r="K157" s="6" t="n"/>
      <c r="L157" s="7" t="n"/>
    </row>
    <row r="158">
      <c r="D158" s="12" t="n"/>
      <c r="E158" s="6" t="n"/>
      <c r="F158" s="6" t="n"/>
      <c r="G158" s="6" t="n"/>
      <c r="H158" s="6" t="n"/>
      <c r="I158" s="6" t="n"/>
      <c r="J158" s="7" t="n"/>
      <c r="K158" s="6" t="n"/>
      <c r="L158" s="7" t="n"/>
    </row>
    <row r="159">
      <c r="D159" s="12" t="n"/>
      <c r="E159" s="6" t="n"/>
      <c r="F159" s="6" t="n"/>
      <c r="G159" s="6" t="n"/>
      <c r="H159" s="6" t="n"/>
      <c r="I159" s="6" t="n"/>
      <c r="J159" s="7" t="n"/>
      <c r="K159" s="6" t="n"/>
      <c r="L159" s="7" t="n"/>
    </row>
    <row r="160">
      <c r="D160" s="12" t="n"/>
      <c r="E160" s="6" t="n"/>
      <c r="F160" s="6" t="n"/>
      <c r="G160" s="6" t="n"/>
      <c r="H160" s="6" t="n"/>
      <c r="I160" s="6" t="n"/>
      <c r="J160" s="7" t="n"/>
      <c r="K160" s="6" t="n"/>
      <c r="L160" s="7" t="n"/>
    </row>
    <row r="161">
      <c r="D161" s="12" t="n"/>
      <c r="E161" s="6" t="n"/>
      <c r="F161" s="6" t="n"/>
      <c r="G161" s="6" t="n"/>
      <c r="H161" s="6" t="n"/>
      <c r="I161" s="6" t="n"/>
      <c r="J161" s="7" t="n"/>
      <c r="K161" s="6" t="n"/>
      <c r="L161" s="7" t="n"/>
    </row>
    <row r="162">
      <c r="D162" s="12" t="n"/>
      <c r="E162" s="6" t="n"/>
      <c r="F162" s="6" t="n"/>
      <c r="G162" s="6" t="n"/>
      <c r="H162" s="6" t="n"/>
      <c r="I162" s="6" t="n"/>
      <c r="J162" s="7" t="n"/>
      <c r="K162" s="6" t="n"/>
      <c r="L162" s="7" t="n"/>
    </row>
    <row r="163">
      <c r="D163" s="12" t="n"/>
      <c r="E163" s="6" t="n"/>
      <c r="F163" s="6" t="n"/>
      <c r="G163" s="6" t="n"/>
      <c r="H163" s="6" t="n"/>
      <c r="I163" s="6" t="n"/>
      <c r="J163" s="7" t="n"/>
      <c r="K163" s="6" t="n"/>
      <c r="L163" s="7" t="n"/>
    </row>
    <row r="164">
      <c r="D164" s="12" t="n"/>
      <c r="E164" s="6" t="n"/>
      <c r="F164" s="6" t="n"/>
      <c r="G164" s="6" t="n"/>
      <c r="H164" s="6" t="n"/>
      <c r="I164" s="6" t="n"/>
      <c r="J164" s="7" t="n"/>
      <c r="K164" s="6" t="n"/>
      <c r="L164" s="7" t="n"/>
    </row>
    <row r="165">
      <c r="D165" s="12" t="n"/>
      <c r="E165" s="6" t="n"/>
      <c r="F165" s="6" t="n"/>
      <c r="G165" s="6" t="n"/>
      <c r="H165" s="6" t="n"/>
      <c r="I165" s="6" t="n"/>
      <c r="J165" s="7" t="n"/>
      <c r="K165" s="6" t="n"/>
      <c r="L165" s="7" t="n"/>
    </row>
    <row r="166">
      <c r="D166" s="12" t="n"/>
      <c r="E166" s="6" t="n"/>
      <c r="F166" s="6" t="n"/>
      <c r="G166" s="6" t="n"/>
      <c r="H166" s="6" t="n"/>
      <c r="I166" s="6" t="n"/>
      <c r="J166" s="7" t="n"/>
      <c r="K166" s="6" t="n"/>
      <c r="L166" s="7" t="n"/>
    </row>
    <row r="167">
      <c r="D167" s="12" t="n"/>
      <c r="E167" s="6" t="n"/>
      <c r="F167" s="6" t="n"/>
      <c r="G167" s="6" t="n"/>
      <c r="H167" s="6" t="n"/>
      <c r="I167" s="6" t="n"/>
      <c r="J167" s="7" t="n"/>
      <c r="K167" s="6" t="n"/>
      <c r="L167" s="7" t="n"/>
    </row>
    <row r="168">
      <c r="D168" s="12" t="n"/>
      <c r="E168" s="6" t="n"/>
      <c r="F168" s="6" t="n"/>
      <c r="G168" s="6" t="n"/>
      <c r="H168" s="6" t="n"/>
      <c r="I168" s="6" t="n"/>
      <c r="J168" s="7" t="n"/>
      <c r="K168" s="6" t="n"/>
      <c r="L168" s="7" t="n"/>
    </row>
    <row r="169">
      <c r="D169" s="12" t="n"/>
      <c r="E169" s="6" t="n"/>
      <c r="F169" s="6" t="n"/>
      <c r="G169" s="6" t="n"/>
      <c r="H169" s="6" t="n"/>
      <c r="I169" s="6" t="n"/>
      <c r="J169" s="7" t="n"/>
      <c r="K169" s="6" t="n"/>
      <c r="L169" s="7" t="n"/>
    </row>
    <row r="170">
      <c r="D170" s="12" t="n"/>
      <c r="E170" s="6" t="n"/>
      <c r="F170" s="6" t="n"/>
      <c r="G170" s="6" t="n"/>
      <c r="H170" s="6" t="n"/>
      <c r="I170" s="6" t="n"/>
      <c r="J170" s="7" t="n"/>
      <c r="K170" s="6" t="n"/>
      <c r="L170" s="7" t="n"/>
    </row>
    <row r="171">
      <c r="D171" s="12" t="n"/>
      <c r="E171" s="6" t="n"/>
      <c r="F171" s="6" t="n"/>
      <c r="G171" s="6" t="n"/>
      <c r="H171" s="6" t="n"/>
      <c r="I171" s="6" t="n"/>
      <c r="J171" s="7" t="n"/>
      <c r="K171" s="6" t="n"/>
      <c r="L171" s="7" t="n"/>
    </row>
    <row r="172">
      <c r="D172" s="12" t="n"/>
      <c r="E172" s="6" t="n"/>
      <c r="F172" s="6" t="n"/>
      <c r="G172" s="6" t="n"/>
      <c r="H172" s="6" t="n"/>
      <c r="I172" s="6" t="n"/>
      <c r="J172" s="7" t="n"/>
      <c r="K172" s="6" t="n"/>
      <c r="L172" s="7" t="n"/>
    </row>
    <row r="173">
      <c r="D173" s="12" t="n"/>
      <c r="E173" s="6" t="n"/>
      <c r="F173" s="6" t="n"/>
      <c r="G173" s="6" t="n"/>
      <c r="H173" s="6" t="n"/>
      <c r="I173" s="6" t="n"/>
      <c r="J173" s="7" t="n"/>
      <c r="K173" s="6" t="n"/>
      <c r="L173" s="7" t="n"/>
    </row>
    <row r="174">
      <c r="D174" s="12" t="n"/>
      <c r="E174" s="6" t="n"/>
      <c r="F174" s="6" t="n"/>
      <c r="G174" s="6" t="n"/>
      <c r="H174" s="6" t="n"/>
      <c r="I174" s="6" t="n"/>
      <c r="J174" s="7" t="n"/>
      <c r="K174" s="6" t="n"/>
      <c r="L174" s="7" t="n"/>
    </row>
    <row r="175">
      <c r="D175" s="12" t="n"/>
      <c r="E175" s="6" t="n"/>
      <c r="F175" s="6" t="n"/>
      <c r="G175" s="6" t="n"/>
      <c r="H175" s="6" t="n"/>
      <c r="I175" s="6" t="n"/>
      <c r="J175" s="7" t="n"/>
      <c r="K175" s="6" t="n"/>
      <c r="L175" s="7" t="n"/>
    </row>
    <row r="176">
      <c r="D176" s="12" t="n"/>
      <c r="E176" s="6" t="n"/>
      <c r="F176" s="6" t="n"/>
      <c r="G176" s="6" t="n"/>
      <c r="H176" s="6" t="n"/>
      <c r="I176" s="6" t="n"/>
      <c r="J176" s="7" t="n"/>
      <c r="K176" s="6" t="n"/>
      <c r="L176" s="7" t="n"/>
    </row>
    <row r="177">
      <c r="D177" s="12" t="n"/>
      <c r="E177" s="6" t="n"/>
      <c r="F177" s="6" t="n"/>
      <c r="G177" s="6" t="n"/>
      <c r="H177" s="6" t="n"/>
      <c r="I177" s="6" t="n"/>
      <c r="J177" s="7" t="n"/>
      <c r="K177" s="6" t="n"/>
      <c r="L177" s="7" t="n"/>
    </row>
    <row r="178">
      <c r="D178" s="12" t="n"/>
      <c r="E178" s="6" t="n"/>
      <c r="F178" s="6" t="n"/>
      <c r="G178" s="6" t="n"/>
      <c r="H178" s="6" t="n"/>
      <c r="I178" s="6" t="n"/>
      <c r="J178" s="7" t="n"/>
      <c r="K178" s="6" t="n"/>
      <c r="L178" s="7" t="n"/>
    </row>
    <row r="179">
      <c r="D179" s="12" t="n"/>
      <c r="E179" s="6" t="n"/>
      <c r="F179" s="6" t="n"/>
      <c r="G179" s="6" t="n"/>
      <c r="H179" s="6" t="n"/>
      <c r="I179" s="6" t="n"/>
      <c r="J179" s="7" t="n"/>
      <c r="K179" s="6" t="n"/>
      <c r="L179" s="7" t="n"/>
    </row>
    <row r="180">
      <c r="D180" s="12" t="n"/>
      <c r="E180" s="6" t="n"/>
      <c r="F180" s="6" t="n"/>
      <c r="G180" s="6" t="n"/>
      <c r="H180" s="6" t="n"/>
      <c r="I180" s="6" t="n"/>
      <c r="J180" s="7" t="n"/>
      <c r="K180" s="6" t="n"/>
      <c r="L180" s="7" t="n"/>
    </row>
    <row r="181">
      <c r="D181" s="12" t="n"/>
      <c r="E181" s="6" t="n"/>
      <c r="F181" s="6" t="n"/>
      <c r="G181" s="6" t="n"/>
      <c r="H181" s="6" t="n"/>
      <c r="I181" s="6" t="n"/>
      <c r="J181" s="7" t="n"/>
      <c r="K181" s="6" t="n"/>
      <c r="L181" s="7" t="n"/>
    </row>
    <row r="182">
      <c r="D182" s="12" t="n"/>
      <c r="E182" s="6" t="n"/>
      <c r="F182" s="6" t="n"/>
      <c r="G182" s="6" t="n"/>
      <c r="H182" s="6" t="n"/>
      <c r="I182" s="6" t="n"/>
      <c r="J182" s="7" t="n"/>
      <c r="K182" s="6" t="n"/>
      <c r="L182" s="7" t="n"/>
    </row>
    <row r="183">
      <c r="D183" s="12" t="n"/>
      <c r="E183" s="6" t="n"/>
      <c r="F183" s="6" t="n"/>
      <c r="G183" s="6" t="n"/>
      <c r="H183" s="6" t="n"/>
      <c r="I183" s="6" t="n"/>
      <c r="J183" s="7" t="n"/>
      <c r="K183" s="6" t="n"/>
      <c r="L183" s="7" t="n"/>
    </row>
    <row r="184">
      <c r="D184" s="12" t="n"/>
      <c r="E184" s="6" t="n"/>
      <c r="F184" s="6" t="n"/>
      <c r="G184" s="6" t="n"/>
      <c r="H184" s="6" t="n"/>
      <c r="I184" s="6" t="n"/>
      <c r="J184" s="7" t="n"/>
      <c r="K184" s="6" t="n"/>
      <c r="L184" s="7" t="n"/>
    </row>
    <row r="185">
      <c r="D185" s="12" t="n"/>
      <c r="E185" s="6" t="n"/>
      <c r="F185" s="6" t="n"/>
      <c r="G185" s="6" t="n"/>
      <c r="H185" s="6" t="n"/>
      <c r="I185" s="6" t="n"/>
      <c r="J185" s="7" t="n"/>
      <c r="K185" s="6" t="n"/>
      <c r="L185" s="7" t="n"/>
    </row>
    <row r="186">
      <c r="D186" s="12" t="n"/>
      <c r="E186" s="6" t="n"/>
      <c r="F186" s="6" t="n"/>
      <c r="G186" s="6" t="n"/>
      <c r="H186" s="6" t="n"/>
      <c r="I186" s="6" t="n"/>
      <c r="J186" s="7" t="n"/>
      <c r="K186" s="6" t="n"/>
      <c r="L186" s="7" t="n"/>
    </row>
    <row r="187">
      <c r="D187" s="12" t="n"/>
      <c r="E187" s="6" t="n"/>
      <c r="F187" s="6" t="n"/>
      <c r="G187" s="6" t="n"/>
      <c r="H187" s="6" t="n"/>
      <c r="I187" s="6" t="n"/>
      <c r="J187" s="7" t="n"/>
      <c r="K187" s="6" t="n"/>
      <c r="L187" s="7" t="n"/>
    </row>
    <row r="188">
      <c r="D188" s="12" t="n"/>
      <c r="E188" s="6" t="n"/>
      <c r="F188" s="6" t="n"/>
      <c r="G188" s="6" t="n"/>
      <c r="H188" s="6" t="n"/>
      <c r="I188" s="6" t="n"/>
      <c r="J188" s="7" t="n"/>
      <c r="K188" s="6" t="n"/>
      <c r="L188" s="7" t="n"/>
    </row>
    <row r="189">
      <c r="D189" s="12" t="n"/>
      <c r="E189" s="6" t="n"/>
      <c r="F189" s="6" t="n"/>
      <c r="G189" s="6" t="n"/>
      <c r="H189" s="6" t="n"/>
      <c r="I189" s="6" t="n"/>
      <c r="J189" s="7" t="n"/>
      <c r="K189" s="6" t="n"/>
      <c r="L189" s="7" t="n"/>
    </row>
    <row r="190">
      <c r="D190" s="12" t="n"/>
      <c r="E190" s="6" t="n"/>
      <c r="F190" s="6" t="n"/>
      <c r="G190" s="6" t="n"/>
      <c r="H190" s="6" t="n"/>
      <c r="I190" s="6" t="n"/>
      <c r="J190" s="7" t="n"/>
      <c r="K190" s="6" t="n"/>
      <c r="L190" s="7" t="n"/>
    </row>
    <row r="191">
      <c r="D191" s="12" t="n"/>
      <c r="E191" s="6" t="n"/>
      <c r="F191" s="6" t="n"/>
      <c r="G191" s="6" t="n"/>
      <c r="H191" s="6" t="n"/>
      <c r="I191" s="6" t="n"/>
      <c r="J191" s="7" t="n"/>
      <c r="K191" s="6" t="n"/>
      <c r="L191" s="7" t="n"/>
    </row>
    <row r="192">
      <c r="D192" s="12" t="n"/>
      <c r="E192" s="6" t="n"/>
      <c r="F192" s="6" t="n"/>
      <c r="G192" s="6" t="n"/>
      <c r="H192" s="6" t="n"/>
      <c r="I192" s="6" t="n"/>
      <c r="J192" s="7" t="n"/>
      <c r="K192" s="6" t="n"/>
      <c r="L192" s="7" t="n"/>
    </row>
    <row r="193">
      <c r="D193" s="12" t="n"/>
      <c r="E193" s="6" t="n"/>
      <c r="F193" s="6" t="n"/>
      <c r="G193" s="6" t="n"/>
      <c r="H193" s="6" t="n"/>
      <c r="I193" s="6" t="n"/>
      <c r="J193" s="7" t="n"/>
      <c r="K193" s="6" t="n"/>
      <c r="L193" s="7" t="n"/>
    </row>
    <row r="194">
      <c r="D194" s="12" t="n"/>
      <c r="E194" s="6" t="n"/>
      <c r="F194" s="6" t="n"/>
      <c r="G194" s="6" t="n"/>
      <c r="H194" s="6" t="n"/>
      <c r="I194" s="6" t="n"/>
      <c r="J194" s="7" t="n"/>
      <c r="K194" s="6" t="n"/>
      <c r="L194" s="7" t="n"/>
    </row>
    <row r="195">
      <c r="D195" s="12" t="n"/>
      <c r="E195" s="6" t="n"/>
      <c r="F195" s="6" t="n"/>
      <c r="G195" s="6" t="n"/>
      <c r="H195" s="6" t="n"/>
      <c r="I195" s="6" t="n"/>
      <c r="J195" s="7" t="n"/>
      <c r="K195" s="6" t="n"/>
      <c r="L195" s="7" t="n"/>
    </row>
    <row r="196">
      <c r="D196" s="12" t="n"/>
      <c r="E196" s="6" t="n"/>
      <c r="F196" s="6" t="n"/>
      <c r="G196" s="6" t="n"/>
      <c r="H196" s="6" t="n"/>
      <c r="I196" s="6" t="n"/>
      <c r="J196" s="7" t="n"/>
      <c r="K196" s="6" t="n"/>
      <c r="L196" s="7" t="n"/>
    </row>
    <row r="197">
      <c r="D197" s="12" t="n"/>
      <c r="E197" s="6" t="n"/>
      <c r="F197" s="6" t="n"/>
      <c r="G197" s="6" t="n"/>
      <c r="H197" s="6" t="n"/>
      <c r="I197" s="6" t="n"/>
      <c r="J197" s="7" t="n"/>
      <c r="K197" s="6" t="n"/>
      <c r="L197" s="7" t="n"/>
    </row>
    <row r="198">
      <c r="D198" s="12" t="n"/>
      <c r="E198" s="6" t="n"/>
      <c r="F198" s="6" t="n"/>
      <c r="G198" s="6" t="n"/>
      <c r="H198" s="6" t="n"/>
      <c r="I198" s="6" t="n"/>
      <c r="J198" s="7" t="n"/>
      <c r="K198" s="6" t="n"/>
      <c r="L198" s="7" t="n"/>
    </row>
    <row r="199">
      <c r="D199" s="12" t="n"/>
      <c r="E199" s="6" t="n"/>
      <c r="F199" s="6" t="n"/>
      <c r="G199" s="6" t="n"/>
      <c r="H199" s="6" t="n"/>
      <c r="I199" s="6" t="n"/>
      <c r="J199" s="7" t="n"/>
      <c r="K199" s="6" t="n"/>
      <c r="L199" s="7" t="n"/>
    </row>
    <row r="200">
      <c r="D200" s="12" t="n"/>
      <c r="E200" s="6" t="n"/>
      <c r="F200" s="6" t="n"/>
      <c r="G200" s="6" t="n"/>
      <c r="H200" s="6" t="n"/>
      <c r="I200" s="6" t="n"/>
      <c r="J200" s="7" t="n"/>
      <c r="K200" s="6" t="n"/>
      <c r="L200" s="7" t="n"/>
    </row>
    <row r="201">
      <c r="D201" s="12" t="n"/>
      <c r="E201" s="6" t="n"/>
      <c r="F201" s="6" t="n"/>
      <c r="G201" s="6" t="n"/>
      <c r="H201" s="6" t="n"/>
      <c r="I201" s="6" t="n"/>
      <c r="J201" s="7" t="n"/>
      <c r="K201" s="6" t="n"/>
      <c r="L201" s="7" t="n"/>
    </row>
    <row r="202">
      <c r="D202" s="12" t="n"/>
      <c r="E202" s="6" t="n"/>
      <c r="F202" s="6" t="n"/>
      <c r="G202" s="6" t="n"/>
      <c r="H202" s="6" t="n"/>
      <c r="I202" s="6" t="n"/>
      <c r="J202" s="7" t="n"/>
      <c r="K202" s="6" t="n"/>
      <c r="L202" s="7" t="n"/>
    </row>
    <row r="203">
      <c r="D203" s="12" t="n"/>
      <c r="E203" s="6" t="n"/>
      <c r="F203" s="6" t="n"/>
      <c r="G203" s="6" t="n"/>
      <c r="H203" s="6" t="n"/>
      <c r="I203" s="6" t="n"/>
      <c r="J203" s="7" t="n"/>
      <c r="K203" s="6" t="n"/>
      <c r="L203" s="7" t="n"/>
    </row>
    <row r="204">
      <c r="D204" s="12" t="n"/>
      <c r="E204" s="6" t="n"/>
      <c r="F204" s="6" t="n"/>
      <c r="G204" s="6" t="n"/>
      <c r="H204" s="6" t="n"/>
      <c r="I204" s="6" t="n"/>
      <c r="J204" s="7" t="n"/>
      <c r="K204" s="6" t="n"/>
      <c r="L204" s="7" t="n"/>
    </row>
    <row r="205">
      <c r="D205" s="12" t="n"/>
      <c r="E205" s="6" t="n"/>
      <c r="F205" s="6" t="n"/>
      <c r="G205" s="6" t="n"/>
      <c r="H205" s="6" t="n"/>
      <c r="I205" s="6" t="n"/>
      <c r="J205" s="7" t="n"/>
      <c r="K205" s="6" t="n"/>
      <c r="L205" s="7" t="n"/>
    </row>
    <row r="206">
      <c r="D206" s="12" t="n"/>
      <c r="E206" s="6" t="n"/>
      <c r="F206" s="6" t="n"/>
      <c r="G206" s="6" t="n"/>
      <c r="H206" s="6" t="n"/>
      <c r="I206" s="6" t="n"/>
      <c r="J206" s="7" t="n"/>
      <c r="K206" s="6" t="n"/>
      <c r="L206" s="7" t="n"/>
    </row>
    <row r="207">
      <c r="D207" s="12" t="n"/>
      <c r="E207" s="6" t="n"/>
      <c r="F207" s="6" t="n"/>
      <c r="G207" s="6" t="n"/>
      <c r="H207" s="6" t="n"/>
      <c r="I207" s="6" t="n"/>
      <c r="J207" s="7" t="n"/>
      <c r="K207" s="6" t="n"/>
      <c r="L207" s="7" t="n"/>
    </row>
    <row r="208">
      <c r="D208" s="12" t="n"/>
      <c r="E208" s="6" t="n"/>
      <c r="F208" s="6" t="n"/>
      <c r="G208" s="6" t="n"/>
      <c r="H208" s="6" t="n"/>
      <c r="I208" s="6" t="n"/>
      <c r="J208" s="7" t="n"/>
      <c r="K208" s="6" t="n"/>
      <c r="L208" s="7" t="n"/>
    </row>
    <row r="209">
      <c r="D209" s="12" t="n"/>
      <c r="E209" s="6" t="n"/>
      <c r="F209" s="6" t="n"/>
      <c r="G209" s="6" t="n"/>
      <c r="H209" s="6" t="n"/>
      <c r="I209" s="6" t="n"/>
      <c r="J209" s="7" t="n"/>
      <c r="K209" s="6" t="n"/>
      <c r="L209" s="7" t="n"/>
    </row>
    <row r="210">
      <c r="D210" s="12" t="n"/>
      <c r="E210" s="6" t="n"/>
      <c r="F210" s="6" t="n"/>
      <c r="G210" s="6" t="n"/>
      <c r="H210" s="6" t="n"/>
      <c r="I210" s="6" t="n"/>
      <c r="J210" s="7" t="n"/>
      <c r="K210" s="6" t="n"/>
      <c r="L210" s="7" t="n"/>
    </row>
    <row r="211">
      <c r="D211" s="12" t="n"/>
      <c r="E211" s="6" t="n"/>
      <c r="F211" s="6" t="n"/>
      <c r="G211" s="6" t="n"/>
      <c r="H211" s="6" t="n"/>
      <c r="I211" s="6" t="n"/>
      <c r="J211" s="7" t="n"/>
      <c r="K211" s="6" t="n"/>
      <c r="L211" s="7" t="n"/>
    </row>
    <row r="212">
      <c r="D212" s="12" t="n"/>
      <c r="E212" s="6" t="n"/>
      <c r="F212" s="6" t="n"/>
      <c r="G212" s="6" t="n"/>
      <c r="H212" s="6" t="n"/>
      <c r="I212" s="6" t="n"/>
      <c r="J212" s="7" t="n"/>
      <c r="K212" s="6" t="n"/>
      <c r="L212" s="7" t="n"/>
    </row>
    <row r="213">
      <c r="D213" s="12" t="n"/>
      <c r="E213" s="6" t="n"/>
      <c r="F213" s="6" t="n"/>
      <c r="G213" s="6" t="n"/>
      <c r="H213" s="6" t="n"/>
      <c r="I213" s="6" t="n"/>
      <c r="J213" s="7" t="n"/>
      <c r="K213" s="6" t="n"/>
      <c r="L213" s="7" t="n"/>
    </row>
    <row r="214">
      <c r="D214" s="12" t="n"/>
      <c r="E214" s="6" t="n"/>
      <c r="F214" s="6" t="n"/>
      <c r="G214" s="6" t="n"/>
      <c r="H214" s="6" t="n"/>
      <c r="I214" s="6" t="n"/>
      <c r="J214" s="7" t="n"/>
      <c r="K214" s="6" t="n"/>
      <c r="L214" s="7" t="n"/>
    </row>
    <row r="215">
      <c r="D215" s="12" t="n"/>
      <c r="E215" s="6" t="n"/>
      <c r="F215" s="6" t="n"/>
      <c r="G215" s="6" t="n"/>
      <c r="H215" s="6" t="n"/>
      <c r="I215" s="6" t="n"/>
      <c r="J215" s="7" t="n"/>
      <c r="K215" s="6" t="n"/>
      <c r="L215" s="7" t="n"/>
    </row>
    <row r="216">
      <c r="D216" s="12" t="n"/>
      <c r="E216" s="6" t="n"/>
      <c r="F216" s="6" t="n"/>
      <c r="G216" s="6" t="n"/>
      <c r="H216" s="6" t="n"/>
      <c r="I216" s="6" t="n"/>
      <c r="J216" s="7" t="n"/>
      <c r="K216" s="6" t="n"/>
      <c r="L216" s="7" t="n"/>
    </row>
    <row r="217">
      <c r="D217" s="12" t="n"/>
      <c r="E217" s="6" t="n"/>
      <c r="F217" s="6" t="n"/>
      <c r="G217" s="6" t="n"/>
      <c r="H217" s="6" t="n"/>
      <c r="I217" s="6" t="n"/>
      <c r="J217" s="7" t="n"/>
      <c r="K217" s="6" t="n"/>
      <c r="L217" s="7" t="n"/>
    </row>
    <row r="218">
      <c r="D218" s="12" t="n"/>
      <c r="E218" s="6" t="n"/>
      <c r="F218" s="6" t="n"/>
      <c r="G218" s="6" t="n"/>
      <c r="H218" s="6" t="n"/>
      <c r="I218" s="6" t="n"/>
      <c r="J218" s="7" t="n"/>
      <c r="K218" s="6" t="n"/>
      <c r="L218" s="7" t="n"/>
    </row>
    <row r="219">
      <c r="D219" s="12" t="n"/>
      <c r="E219" s="6" t="n"/>
      <c r="F219" s="6" t="n"/>
      <c r="G219" s="6" t="n"/>
      <c r="H219" s="6" t="n"/>
      <c r="I219" s="6" t="n"/>
      <c r="J219" s="7" t="n"/>
      <c r="K219" s="6" t="n"/>
      <c r="L219" s="7" t="n"/>
    </row>
    <row r="220">
      <c r="D220" s="12" t="n"/>
      <c r="E220" s="6" t="n"/>
      <c r="F220" s="6" t="n"/>
      <c r="G220" s="6" t="n"/>
      <c r="H220" s="6" t="n"/>
      <c r="I220" s="6" t="n"/>
      <c r="J220" s="7" t="n"/>
      <c r="K220" s="6" t="n"/>
      <c r="L220" s="7" t="n"/>
    </row>
    <row r="221">
      <c r="D221" s="12" t="n"/>
      <c r="E221" s="6" t="n"/>
      <c r="F221" s="6" t="n"/>
      <c r="G221" s="6" t="n"/>
      <c r="H221" s="6" t="n"/>
      <c r="I221" s="6" t="n"/>
      <c r="J221" s="7" t="n"/>
      <c r="K221" s="6" t="n"/>
      <c r="L221" s="7" t="n"/>
    </row>
    <row r="222">
      <c r="D222" s="12" t="n"/>
      <c r="E222" s="6" t="n"/>
      <c r="F222" s="6" t="n"/>
      <c r="G222" s="6" t="n"/>
      <c r="H222" s="6" t="n"/>
      <c r="I222" s="6" t="n"/>
      <c r="J222" s="7" t="n"/>
      <c r="K222" s="6" t="n"/>
      <c r="L222" s="7" t="n"/>
    </row>
    <row r="223">
      <c r="D223" s="12" t="n"/>
      <c r="E223" s="6" t="n"/>
      <c r="F223" s="6" t="n"/>
      <c r="G223" s="6" t="n"/>
      <c r="H223" s="6" t="n"/>
      <c r="I223" s="6" t="n"/>
      <c r="J223" s="7" t="n"/>
      <c r="K223" s="6" t="n"/>
      <c r="L223" s="7" t="n"/>
    </row>
    <row r="224">
      <c r="D224" s="12" t="n"/>
      <c r="E224" s="6" t="n"/>
      <c r="F224" s="6" t="n"/>
      <c r="G224" s="6" t="n"/>
      <c r="H224" s="6" t="n"/>
      <c r="I224" s="6" t="n"/>
      <c r="J224" s="7" t="n"/>
      <c r="K224" s="6" t="n"/>
      <c r="L224" s="7" t="n"/>
    </row>
    <row r="225">
      <c r="D225" s="12" t="n"/>
      <c r="E225" s="6" t="n"/>
      <c r="F225" s="6" t="n"/>
      <c r="G225" s="6" t="n"/>
      <c r="H225" s="6" t="n"/>
      <c r="I225" s="6" t="n"/>
      <c r="J225" s="7" t="n"/>
      <c r="K225" s="6" t="n"/>
      <c r="L225" s="7" t="n"/>
    </row>
    <row r="226">
      <c r="D226" s="12" t="n"/>
      <c r="E226" s="6" t="n"/>
      <c r="F226" s="6" t="n"/>
      <c r="G226" s="6" t="n"/>
      <c r="H226" s="6" t="n"/>
      <c r="I226" s="6" t="n"/>
      <c r="J226" s="7" t="n"/>
      <c r="K226" s="6" t="n"/>
      <c r="L226" s="7" t="n"/>
    </row>
    <row r="227">
      <c r="D227" s="12" t="n"/>
      <c r="E227" s="6" t="n"/>
      <c r="F227" s="6" t="n"/>
      <c r="G227" s="6" t="n"/>
      <c r="H227" s="6" t="n"/>
      <c r="I227" s="6" t="n"/>
      <c r="J227" s="7" t="n"/>
      <c r="K227" s="6" t="n"/>
      <c r="L227" s="7" t="n"/>
    </row>
    <row r="228">
      <c r="D228" s="12" t="n"/>
      <c r="E228" s="6" t="n"/>
      <c r="F228" s="6" t="n"/>
      <c r="G228" s="6" t="n"/>
      <c r="H228" s="6" t="n"/>
      <c r="I228" s="6" t="n"/>
      <c r="J228" s="7" t="n"/>
      <c r="K228" s="6" t="n"/>
      <c r="L228" s="7" t="n"/>
    </row>
    <row r="229">
      <c r="D229" s="12" t="n"/>
      <c r="E229" s="6" t="n"/>
      <c r="F229" s="6" t="n"/>
      <c r="G229" s="6" t="n"/>
      <c r="H229" s="6" t="n"/>
      <c r="I229" s="6" t="n"/>
      <c r="J229" s="7" t="n"/>
      <c r="K229" s="6" t="n"/>
      <c r="L229" s="7" t="n"/>
    </row>
    <row r="230">
      <c r="D230" s="12" t="n"/>
      <c r="E230" s="6" t="n"/>
      <c r="F230" s="6" t="n"/>
      <c r="G230" s="6" t="n"/>
      <c r="H230" s="6" t="n"/>
      <c r="I230" s="6" t="n"/>
      <c r="J230" s="7" t="n"/>
      <c r="K230" s="6" t="n"/>
      <c r="L230" s="7" t="n"/>
    </row>
    <row r="231">
      <c r="D231" s="12" t="n"/>
      <c r="E231" s="6" t="n"/>
      <c r="F231" s="6" t="n"/>
      <c r="G231" s="6" t="n"/>
      <c r="H231" s="6" t="n"/>
      <c r="I231" s="6" t="n"/>
      <c r="J231" s="7" t="n"/>
      <c r="K231" s="6" t="n"/>
      <c r="L231" s="7" t="n"/>
    </row>
    <row r="232">
      <c r="D232" s="12" t="n"/>
      <c r="E232" s="6" t="n"/>
      <c r="F232" s="6" t="n"/>
      <c r="G232" s="6" t="n"/>
      <c r="H232" s="6" t="n"/>
      <c r="I232" s="6" t="n"/>
      <c r="J232" s="7" t="n"/>
      <c r="K232" s="6" t="n"/>
      <c r="L232" s="7" t="n"/>
    </row>
    <row r="233">
      <c r="D233" s="12" t="n"/>
      <c r="E233" s="6" t="n"/>
      <c r="F233" s="6" t="n"/>
      <c r="G233" s="6" t="n"/>
      <c r="H233" s="6" t="n"/>
      <c r="I233" s="6" t="n"/>
      <c r="J233" s="7" t="n"/>
      <c r="K233" s="6" t="n"/>
      <c r="L233" s="7" t="n"/>
    </row>
    <row r="234">
      <c r="D234" s="12" t="n"/>
      <c r="E234" s="6" t="n"/>
      <c r="F234" s="6" t="n"/>
      <c r="G234" s="6" t="n"/>
      <c r="H234" s="6" t="n"/>
      <c r="I234" s="6" t="n"/>
      <c r="J234" s="7" t="n"/>
      <c r="K234" s="6" t="n"/>
      <c r="L234" s="7" t="n"/>
    </row>
    <row r="235">
      <c r="D235" s="12" t="n"/>
      <c r="E235" s="6" t="n"/>
      <c r="F235" s="6" t="n"/>
      <c r="G235" s="6" t="n"/>
      <c r="H235" s="6" t="n"/>
      <c r="I235" s="6" t="n"/>
      <c r="J235" s="7" t="n"/>
      <c r="K235" s="6" t="n"/>
      <c r="L235" s="7" t="n"/>
    </row>
    <row r="236">
      <c r="D236" s="12" t="n"/>
      <c r="E236" s="6" t="n"/>
      <c r="F236" s="6" t="n"/>
      <c r="G236" s="6" t="n"/>
      <c r="H236" s="6" t="n"/>
      <c r="I236" s="6" t="n"/>
      <c r="J236" s="7" t="n"/>
      <c r="K236" s="6" t="n"/>
      <c r="L236" s="7" t="n"/>
    </row>
    <row r="237">
      <c r="D237" s="12" t="n"/>
      <c r="E237" s="6" t="n"/>
      <c r="F237" s="6" t="n"/>
      <c r="G237" s="6" t="n"/>
      <c r="H237" s="6" t="n"/>
      <c r="I237" s="6" t="n"/>
      <c r="J237" s="7" t="n"/>
      <c r="K237" s="6" t="n"/>
      <c r="L237" s="7" t="n"/>
    </row>
    <row r="238">
      <c r="D238" s="12" t="n"/>
      <c r="E238" s="6" t="n"/>
      <c r="F238" s="6" t="n"/>
      <c r="G238" s="6" t="n"/>
      <c r="H238" s="6" t="n"/>
      <c r="I238" s="6" t="n"/>
      <c r="J238" s="7" t="n"/>
      <c r="K238" s="6" t="n"/>
      <c r="L238" s="7" t="n"/>
    </row>
    <row r="239">
      <c r="D239" s="12" t="n"/>
      <c r="E239" s="6" t="n"/>
      <c r="F239" s="6" t="n"/>
      <c r="G239" s="6" t="n"/>
      <c r="H239" s="6" t="n"/>
      <c r="I239" s="6" t="n"/>
      <c r="J239" s="7" t="n"/>
      <c r="K239" s="6" t="n"/>
      <c r="L239" s="7" t="n"/>
    </row>
    <row r="240">
      <c r="D240" s="12" t="n"/>
      <c r="E240" s="6" t="n"/>
      <c r="F240" s="6" t="n"/>
      <c r="G240" s="6" t="n"/>
      <c r="H240" s="6" t="n"/>
      <c r="I240" s="6" t="n"/>
      <c r="J240" s="7" t="n"/>
      <c r="K240" s="6" t="n"/>
      <c r="L240" s="7" t="n"/>
    </row>
    <row r="241">
      <c r="D241" s="12" t="n"/>
      <c r="E241" s="6" t="n"/>
      <c r="F241" s="6" t="n"/>
      <c r="G241" s="6" t="n"/>
      <c r="H241" s="6" t="n"/>
      <c r="I241" s="6" t="n"/>
      <c r="J241" s="7" t="n"/>
      <c r="K241" s="6" t="n"/>
      <c r="L241" s="7" t="n"/>
    </row>
    <row r="242">
      <c r="D242" s="12" t="n"/>
      <c r="E242" s="6" t="n"/>
      <c r="F242" s="6" t="n"/>
      <c r="G242" s="6" t="n"/>
      <c r="H242" s="6" t="n"/>
      <c r="I242" s="6" t="n"/>
      <c r="J242" s="7" t="n"/>
      <c r="K242" s="6" t="n"/>
      <c r="L242" s="7" t="n"/>
    </row>
    <row r="243">
      <c r="D243" s="12" t="n"/>
      <c r="E243" s="6" t="n"/>
      <c r="F243" s="6" t="n"/>
      <c r="G243" s="6" t="n"/>
      <c r="H243" s="6" t="n"/>
      <c r="I243" s="6" t="n"/>
      <c r="J243" s="7" t="n"/>
      <c r="K243" s="6" t="n"/>
      <c r="L243" s="7" t="n"/>
    </row>
    <row r="244">
      <c r="D244" s="12" t="n"/>
      <c r="E244" s="6" t="n"/>
      <c r="F244" s="6" t="n"/>
      <c r="G244" s="6" t="n"/>
      <c r="H244" s="6" t="n"/>
      <c r="I244" s="6" t="n"/>
      <c r="J244" s="7" t="n"/>
      <c r="K244" s="6" t="n"/>
      <c r="L244" s="7" t="n"/>
    </row>
    <row r="245">
      <c r="D245" s="12" t="n"/>
      <c r="E245" s="6" t="n"/>
      <c r="F245" s="6" t="n"/>
      <c r="G245" s="6" t="n"/>
      <c r="H245" s="6" t="n"/>
      <c r="I245" s="6" t="n"/>
      <c r="J245" s="7" t="n"/>
      <c r="K245" s="6" t="n"/>
      <c r="L245" s="7" t="n"/>
    </row>
    <row r="246">
      <c r="D246" s="12" t="n"/>
      <c r="E246" s="6" t="n"/>
      <c r="F246" s="6" t="n"/>
      <c r="G246" s="6" t="n"/>
      <c r="H246" s="6" t="n"/>
      <c r="I246" s="6" t="n"/>
      <c r="J246" s="7" t="n"/>
      <c r="K246" s="6" t="n"/>
      <c r="L246" s="7" t="n"/>
    </row>
    <row r="247">
      <c r="D247" s="12" t="n"/>
      <c r="E247" s="6" t="n"/>
      <c r="F247" s="6" t="n"/>
      <c r="G247" s="6" t="n"/>
      <c r="H247" s="6" t="n"/>
      <c r="I247" s="6" t="n"/>
      <c r="J247" s="7" t="n"/>
      <c r="K247" s="6" t="n"/>
      <c r="L247" s="7" t="n"/>
    </row>
    <row r="248">
      <c r="D248" s="12" t="n"/>
      <c r="E248" s="6" t="n"/>
      <c r="F248" s="6" t="n"/>
      <c r="G248" s="6" t="n"/>
      <c r="H248" s="6" t="n"/>
      <c r="I248" s="6" t="n"/>
      <c r="J248" s="7" t="n"/>
      <c r="K248" s="6" t="n"/>
      <c r="L248" s="7" t="n"/>
    </row>
    <row r="249">
      <c r="D249" s="12" t="n"/>
      <c r="E249" s="6" t="n"/>
      <c r="F249" s="6" t="n"/>
      <c r="G249" s="6" t="n"/>
      <c r="H249" s="6" t="n"/>
      <c r="I249" s="6" t="n"/>
      <c r="J249" s="7" t="n"/>
      <c r="K249" s="6" t="n"/>
      <c r="L249" s="7" t="n"/>
    </row>
    <row r="250">
      <c r="D250" s="12" t="n"/>
      <c r="E250" s="6" t="n"/>
      <c r="F250" s="6" t="n"/>
      <c r="G250" s="6" t="n"/>
      <c r="H250" s="6" t="n"/>
      <c r="I250" s="6" t="n"/>
      <c r="J250" s="7" t="n"/>
      <c r="K250" s="6" t="n"/>
      <c r="L250" s="7" t="n"/>
    </row>
    <row r="251">
      <c r="D251" s="12" t="n"/>
      <c r="E251" s="6" t="n"/>
      <c r="F251" s="6" t="n"/>
      <c r="G251" s="6" t="n"/>
      <c r="H251" s="6" t="n"/>
      <c r="I251" s="6" t="n"/>
      <c r="J251" s="7" t="n"/>
      <c r="K251" s="6" t="n"/>
      <c r="L251" s="7" t="n"/>
    </row>
    <row r="252">
      <c r="D252" s="12" t="n"/>
      <c r="E252" s="6" t="n"/>
      <c r="F252" s="6" t="n"/>
      <c r="G252" s="6" t="n"/>
      <c r="H252" s="6" t="n"/>
      <c r="I252" s="6" t="n"/>
      <c r="J252" s="7" t="n"/>
      <c r="K252" s="6" t="n"/>
      <c r="L252" s="7" t="n"/>
    </row>
    <row r="253">
      <c r="D253" s="12" t="n"/>
      <c r="E253" s="6" t="n"/>
      <c r="F253" s="6" t="n"/>
      <c r="G253" s="6" t="n"/>
      <c r="H253" s="6" t="n"/>
      <c r="I253" s="6" t="n"/>
      <c r="J253" s="7" t="n"/>
      <c r="K253" s="6" t="n"/>
      <c r="L253" s="7" t="n"/>
    </row>
    <row r="254">
      <c r="D254" s="12" t="n"/>
      <c r="E254" s="6" t="n"/>
      <c r="F254" s="6" t="n"/>
      <c r="G254" s="6" t="n"/>
      <c r="H254" s="6" t="n"/>
      <c r="I254" s="6" t="n"/>
      <c r="J254" s="7" t="n"/>
      <c r="K254" s="6" t="n"/>
      <c r="L254" s="7" t="n"/>
    </row>
    <row r="255">
      <c r="D255" s="12" t="n"/>
      <c r="E255" s="6" t="n"/>
      <c r="F255" s="6" t="n"/>
      <c r="G255" s="6" t="n"/>
      <c r="H255" s="6" t="n"/>
      <c r="I255" s="6" t="n"/>
      <c r="J255" s="7" t="n"/>
      <c r="K255" s="6" t="n"/>
      <c r="L255" s="7" t="n"/>
    </row>
    <row r="256">
      <c r="D256" s="12" t="n"/>
      <c r="E256" s="6" t="n"/>
      <c r="F256" s="6" t="n"/>
      <c r="G256" s="6" t="n"/>
      <c r="H256" s="6" t="n"/>
      <c r="I256" s="6" t="n"/>
      <c r="J256" s="7" t="n"/>
      <c r="K256" s="6" t="n"/>
      <c r="L256" s="7" t="n"/>
    </row>
    <row r="257">
      <c r="D257" s="12" t="n"/>
      <c r="E257" s="6" t="n"/>
      <c r="F257" s="6" t="n"/>
      <c r="G257" s="6" t="n"/>
      <c r="H257" s="6" t="n"/>
      <c r="I257" s="6" t="n"/>
      <c r="J257" s="7" t="n"/>
      <c r="K257" s="6" t="n"/>
      <c r="L257" s="7" t="n"/>
    </row>
    <row r="258">
      <c r="D258" s="12" t="n"/>
      <c r="E258" s="6" t="n"/>
      <c r="F258" s="6" t="n"/>
      <c r="G258" s="6" t="n"/>
      <c r="H258" s="6" t="n"/>
      <c r="I258" s="6" t="n"/>
      <c r="J258" s="7" t="n"/>
      <c r="K258" s="6" t="n"/>
      <c r="L258" s="7" t="n"/>
    </row>
    <row r="259">
      <c r="D259" s="12" t="n"/>
      <c r="E259" s="6" t="n"/>
      <c r="F259" s="6" t="n"/>
      <c r="G259" s="6" t="n"/>
      <c r="H259" s="6" t="n"/>
      <c r="I259" s="6" t="n"/>
      <c r="J259" s="7" t="n"/>
      <c r="K259" s="6" t="n"/>
      <c r="L259" s="7" t="n"/>
    </row>
    <row r="260">
      <c r="D260" s="12" t="n"/>
      <c r="E260" s="6" t="n"/>
      <c r="F260" s="6" t="n"/>
      <c r="G260" s="6" t="n"/>
      <c r="H260" s="6" t="n"/>
      <c r="I260" s="6" t="n"/>
      <c r="J260" s="7" t="n"/>
      <c r="K260" s="6" t="n"/>
      <c r="L260" s="7" t="n"/>
    </row>
    <row r="261">
      <c r="D261" s="12" t="n"/>
      <c r="E261" s="6" t="n"/>
      <c r="F261" s="6" t="n"/>
      <c r="G261" s="6" t="n"/>
      <c r="H261" s="6" t="n"/>
      <c r="I261" s="6" t="n"/>
      <c r="J261" s="7" t="n"/>
      <c r="K261" s="6" t="n"/>
      <c r="L261" s="7" t="n"/>
    </row>
    <row r="262">
      <c r="D262" s="12" t="n"/>
      <c r="E262" s="6" t="n"/>
      <c r="F262" s="6" t="n"/>
      <c r="G262" s="6" t="n"/>
      <c r="H262" s="6" t="n"/>
      <c r="I262" s="6" t="n"/>
      <c r="J262" s="7" t="n"/>
      <c r="K262" s="6" t="n"/>
      <c r="L262" s="7" t="n"/>
    </row>
    <row r="263">
      <c r="D263" s="12" t="n"/>
      <c r="E263" s="6" t="n"/>
      <c r="F263" s="6" t="n"/>
      <c r="G263" s="6" t="n"/>
      <c r="H263" s="6" t="n"/>
      <c r="I263" s="6" t="n"/>
      <c r="J263" s="7" t="n"/>
      <c r="K263" s="6" t="n"/>
      <c r="L263" s="7" t="n"/>
    </row>
    <row r="264">
      <c r="D264" s="12" t="n"/>
      <c r="E264" s="6" t="n"/>
      <c r="F264" s="6" t="n"/>
      <c r="G264" s="6" t="n"/>
      <c r="H264" s="6" t="n"/>
      <c r="I264" s="6" t="n"/>
      <c r="J264" s="7" t="n"/>
      <c r="K264" s="6" t="n"/>
      <c r="L264" s="7" t="n"/>
    </row>
    <row r="265">
      <c r="D265" s="12" t="n"/>
      <c r="E265" s="6" t="n"/>
      <c r="F265" s="6" t="n"/>
      <c r="G265" s="6" t="n"/>
      <c r="H265" s="6" t="n"/>
      <c r="I265" s="6" t="n"/>
      <c r="J265" s="7" t="n"/>
      <c r="K265" s="6" t="n"/>
      <c r="L265" s="7" t="n"/>
    </row>
    <row r="266">
      <c r="D266" s="12" t="n"/>
      <c r="E266" s="6" t="n"/>
      <c r="F266" s="6" t="n"/>
      <c r="G266" s="6" t="n"/>
      <c r="H266" s="6" t="n"/>
      <c r="I266" s="6" t="n"/>
      <c r="J266" s="7" t="n"/>
      <c r="K266" s="6" t="n"/>
      <c r="L266" s="7" t="n"/>
    </row>
    <row r="267">
      <c r="D267" s="12" t="n"/>
      <c r="E267" s="6" t="n"/>
      <c r="F267" s="6" t="n"/>
      <c r="G267" s="6" t="n"/>
      <c r="H267" s="6" t="n"/>
      <c r="I267" s="6" t="n"/>
      <c r="J267" s="7" t="n"/>
      <c r="K267" s="6" t="n"/>
      <c r="L267" s="7" t="n"/>
    </row>
    <row r="268">
      <c r="D268" s="12" t="n"/>
      <c r="E268" s="6" t="n"/>
      <c r="F268" s="6" t="n"/>
      <c r="G268" s="6" t="n"/>
      <c r="H268" s="6" t="n"/>
      <c r="I268" s="6" t="n"/>
      <c r="J268" s="7" t="n"/>
      <c r="K268" s="6" t="n"/>
      <c r="L268" s="7" t="n"/>
    </row>
    <row r="269">
      <c r="D269" s="12" t="n"/>
      <c r="E269" s="6" t="n"/>
      <c r="F269" s="6" t="n"/>
      <c r="G269" s="6" t="n"/>
      <c r="H269" s="6" t="n"/>
      <c r="I269" s="6" t="n"/>
      <c r="J269" s="7" t="n"/>
      <c r="K269" s="6" t="n"/>
      <c r="L269" s="7" t="n"/>
    </row>
    <row r="270">
      <c r="D270" s="12" t="n"/>
      <c r="E270" s="6" t="n"/>
      <c r="F270" s="6" t="n"/>
      <c r="G270" s="6" t="n"/>
      <c r="H270" s="6" t="n"/>
      <c r="I270" s="6" t="n"/>
      <c r="J270" s="7" t="n"/>
      <c r="K270" s="6" t="n"/>
      <c r="L270" s="7" t="n"/>
    </row>
    <row r="271">
      <c r="D271" s="12" t="n"/>
      <c r="E271" s="6" t="n"/>
      <c r="F271" s="6" t="n"/>
      <c r="G271" s="6" t="n"/>
      <c r="H271" s="6" t="n"/>
      <c r="I271" s="6" t="n"/>
      <c r="J271" s="7" t="n"/>
      <c r="K271" s="6" t="n"/>
      <c r="L271" s="7" t="n"/>
    </row>
    <row r="272">
      <c r="D272" s="12" t="n"/>
      <c r="E272" s="6" t="n"/>
      <c r="F272" s="6" t="n"/>
      <c r="G272" s="6" t="n"/>
      <c r="H272" s="6" t="n"/>
      <c r="I272" s="6" t="n"/>
      <c r="J272" s="7" t="n"/>
      <c r="K272" s="6" t="n"/>
      <c r="L272" s="7" t="n"/>
    </row>
    <row r="273">
      <c r="D273" s="12" t="n"/>
      <c r="E273" s="6" t="n"/>
      <c r="F273" s="6" t="n"/>
      <c r="G273" s="6" t="n"/>
      <c r="H273" s="6" t="n"/>
      <c r="I273" s="6" t="n"/>
      <c r="J273" s="7" t="n"/>
      <c r="K273" s="6" t="n"/>
      <c r="L273" s="7" t="n"/>
    </row>
    <row r="274">
      <c r="D274" s="12" t="n"/>
      <c r="E274" s="6" t="n"/>
      <c r="F274" s="6" t="n"/>
      <c r="G274" s="6" t="n"/>
      <c r="H274" s="6" t="n"/>
      <c r="I274" s="6" t="n"/>
      <c r="J274" s="7" t="n"/>
      <c r="K274" s="6" t="n"/>
      <c r="L274" s="7" t="n"/>
    </row>
    <row r="275">
      <c r="D275" s="12" t="n"/>
      <c r="E275" s="6" t="n"/>
      <c r="F275" s="6" t="n"/>
      <c r="G275" s="6" t="n"/>
      <c r="H275" s="6" t="n"/>
      <c r="I275" s="6" t="n"/>
      <c r="J275" s="7" t="n"/>
      <c r="K275" s="6" t="n"/>
      <c r="L275" s="7" t="n"/>
    </row>
    <row r="276">
      <c r="D276" s="12" t="n"/>
      <c r="E276" s="6" t="n"/>
      <c r="F276" s="6" t="n"/>
      <c r="G276" s="6" t="n"/>
      <c r="H276" s="6" t="n"/>
      <c r="I276" s="6" t="n"/>
      <c r="J276" s="7" t="n"/>
      <c r="K276" s="6" t="n"/>
      <c r="L276" s="7" t="n"/>
    </row>
    <row r="277">
      <c r="D277" s="12" t="n"/>
      <c r="E277" s="6" t="n"/>
      <c r="F277" s="6" t="n"/>
      <c r="G277" s="6" t="n"/>
      <c r="H277" s="6" t="n"/>
      <c r="I277" s="6" t="n"/>
      <c r="J277" s="7" t="n"/>
      <c r="K277" s="6" t="n"/>
      <c r="L277" s="7" t="n"/>
    </row>
    <row r="278">
      <c r="D278" s="12" t="n"/>
      <c r="E278" s="6" t="n"/>
      <c r="F278" s="6" t="n"/>
      <c r="G278" s="6" t="n"/>
      <c r="H278" s="6" t="n"/>
      <c r="I278" s="6" t="n"/>
      <c r="J278" s="7" t="n"/>
      <c r="K278" s="6" t="n"/>
      <c r="L278" s="7" t="n"/>
    </row>
    <row r="279">
      <c r="D279" s="12" t="n"/>
      <c r="E279" s="6" t="n"/>
      <c r="F279" s="6" t="n"/>
      <c r="G279" s="6" t="n"/>
      <c r="H279" s="6" t="n"/>
      <c r="I279" s="6" t="n"/>
      <c r="J279" s="7" t="n"/>
      <c r="K279" s="6" t="n"/>
      <c r="L279" s="7" t="n"/>
    </row>
    <row r="280">
      <c r="D280" s="12" t="n"/>
      <c r="E280" s="6" t="n"/>
      <c r="F280" s="6" t="n"/>
      <c r="G280" s="6" t="n"/>
      <c r="H280" s="6" t="n"/>
      <c r="I280" s="6" t="n"/>
      <c r="J280" s="7" t="n"/>
      <c r="K280" s="6" t="n"/>
      <c r="L280" s="7" t="n"/>
    </row>
    <row r="281">
      <c r="D281" s="12" t="n"/>
      <c r="E281" s="6" t="n"/>
      <c r="F281" s="6" t="n"/>
      <c r="G281" s="6" t="n"/>
      <c r="H281" s="6" t="n"/>
      <c r="I281" s="6" t="n"/>
      <c r="J281" s="7" t="n"/>
      <c r="K281" s="6" t="n"/>
      <c r="L281" s="7" t="n"/>
    </row>
    <row r="282">
      <c r="D282" s="12" t="n"/>
      <c r="E282" s="6" t="n"/>
      <c r="F282" s="6" t="n"/>
      <c r="G282" s="6" t="n"/>
      <c r="H282" s="6" t="n"/>
      <c r="I282" s="6" t="n"/>
      <c r="J282" s="7" t="n"/>
      <c r="K282" s="6" t="n"/>
      <c r="L282" s="7" t="n"/>
    </row>
    <row r="283">
      <c r="D283" s="12" t="n"/>
      <c r="E283" s="6" t="n"/>
      <c r="F283" s="6" t="n"/>
      <c r="G283" s="6" t="n"/>
      <c r="H283" s="6" t="n"/>
      <c r="I283" s="6" t="n"/>
      <c r="J283" s="7" t="n"/>
      <c r="K283" s="6" t="n"/>
      <c r="L283" s="7" t="n"/>
    </row>
    <row r="284">
      <c r="D284" s="12" t="n"/>
      <c r="E284" s="6" t="n"/>
      <c r="F284" s="6" t="n"/>
      <c r="G284" s="6" t="n"/>
      <c r="H284" s="6" t="n"/>
      <c r="I284" s="6" t="n"/>
      <c r="J284" s="7" t="n"/>
      <c r="K284" s="6" t="n"/>
      <c r="L284" s="7" t="n"/>
    </row>
    <row r="285">
      <c r="D285" s="12" t="n"/>
      <c r="E285" s="6" t="n"/>
      <c r="F285" s="6" t="n"/>
      <c r="G285" s="6" t="n"/>
      <c r="H285" s="6" t="n"/>
      <c r="I285" s="6" t="n"/>
      <c r="J285" s="7" t="n"/>
      <c r="K285" s="6" t="n"/>
      <c r="L285" s="7" t="n"/>
    </row>
    <row r="286">
      <c r="D286" s="12" t="n"/>
      <c r="E286" s="6" t="n"/>
      <c r="F286" s="6" t="n"/>
      <c r="G286" s="6" t="n"/>
      <c r="H286" s="6" t="n"/>
      <c r="I286" s="6" t="n"/>
      <c r="J286" s="7" t="n"/>
      <c r="K286" s="6" t="n"/>
      <c r="L286" s="7" t="n"/>
    </row>
    <row r="287">
      <c r="D287" s="12" t="n"/>
      <c r="E287" s="6" t="n"/>
      <c r="F287" s="6" t="n"/>
      <c r="G287" s="6" t="n"/>
      <c r="H287" s="6" t="n"/>
      <c r="I287" s="6" t="n"/>
      <c r="J287" s="7" t="n"/>
      <c r="K287" s="6" t="n"/>
      <c r="L287" s="7" t="n"/>
    </row>
    <row r="288">
      <c r="D288" s="12" t="n"/>
      <c r="E288" s="6" t="n"/>
      <c r="F288" s="6" t="n"/>
      <c r="G288" s="6" t="n"/>
      <c r="H288" s="6" t="n"/>
      <c r="I288" s="6" t="n"/>
      <c r="J288" s="7" t="n"/>
      <c r="K288" s="6" t="n"/>
      <c r="L288" s="7" t="n"/>
    </row>
    <row r="289">
      <c r="D289" s="12" t="n"/>
      <c r="E289" s="6" t="n"/>
      <c r="F289" s="6" t="n"/>
      <c r="G289" s="6" t="n"/>
      <c r="H289" s="6" t="n"/>
      <c r="I289" s="6" t="n"/>
      <c r="J289" s="7" t="n"/>
      <c r="K289" s="6" t="n"/>
      <c r="L289" s="7" t="n"/>
    </row>
    <row r="290">
      <c r="D290" s="12" t="n"/>
      <c r="E290" s="6" t="n"/>
      <c r="F290" s="6" t="n"/>
      <c r="G290" s="6" t="n"/>
      <c r="H290" s="6" t="n"/>
      <c r="I290" s="6" t="n"/>
      <c r="J290" s="7" t="n"/>
      <c r="K290" s="6" t="n"/>
      <c r="L290" s="7" t="n"/>
    </row>
    <row r="291">
      <c r="D291" s="12" t="n"/>
      <c r="E291" s="6" t="n"/>
      <c r="F291" s="6" t="n"/>
      <c r="G291" s="6" t="n"/>
      <c r="H291" s="6" t="n"/>
      <c r="I291" s="6" t="n"/>
      <c r="J291" s="7" t="n"/>
      <c r="K291" s="6" t="n"/>
      <c r="L291" s="7" t="n"/>
    </row>
    <row r="292">
      <c r="D292" s="12" t="n"/>
      <c r="E292" s="6" t="n"/>
      <c r="F292" s="6" t="n"/>
      <c r="G292" s="6" t="n"/>
      <c r="H292" s="6" t="n"/>
      <c r="I292" s="6" t="n"/>
      <c r="J292" s="7" t="n"/>
      <c r="K292" s="6" t="n"/>
      <c r="L292" s="7" t="n"/>
    </row>
    <row r="293">
      <c r="D293" s="12" t="n"/>
      <c r="E293" s="6" t="n"/>
      <c r="F293" s="6" t="n"/>
      <c r="G293" s="6" t="n"/>
      <c r="H293" s="6" t="n"/>
      <c r="I293" s="6" t="n"/>
      <c r="J293" s="7" t="n"/>
      <c r="K293" s="6" t="n"/>
      <c r="L293" s="7" t="n"/>
    </row>
    <row r="294">
      <c r="D294" s="12" t="n"/>
      <c r="E294" s="6" t="n"/>
      <c r="F294" s="6" t="n"/>
      <c r="G294" s="6" t="n"/>
      <c r="H294" s="6" t="n"/>
      <c r="I294" s="6" t="n"/>
      <c r="J294" s="7" t="n"/>
      <c r="K294" s="6" t="n"/>
      <c r="L294" s="7" t="n"/>
    </row>
    <row r="295">
      <c r="D295" s="12" t="n"/>
      <c r="E295" s="6" t="n"/>
      <c r="F295" s="6" t="n"/>
      <c r="G295" s="6" t="n"/>
      <c r="H295" s="6" t="n"/>
      <c r="I295" s="6" t="n"/>
      <c r="J295" s="7" t="n"/>
      <c r="K295" s="6" t="n"/>
      <c r="L295" s="7" t="n"/>
    </row>
    <row r="296">
      <c r="D296" s="12" t="n"/>
      <c r="E296" s="6" t="n"/>
      <c r="F296" s="6" t="n"/>
      <c r="G296" s="6" t="n"/>
      <c r="H296" s="6" t="n"/>
      <c r="I296" s="6" t="n"/>
      <c r="J296" s="7" t="n"/>
      <c r="K296" s="6" t="n"/>
      <c r="L296" s="7" t="n"/>
    </row>
    <row r="297">
      <c r="D297" s="12" t="n"/>
      <c r="E297" s="6" t="n"/>
      <c r="F297" s="6" t="n"/>
      <c r="G297" s="6" t="n"/>
      <c r="H297" s="6" t="n"/>
      <c r="I297" s="6" t="n"/>
      <c r="J297" s="7" t="n"/>
      <c r="K297" s="6" t="n"/>
      <c r="L297" s="7" t="n"/>
    </row>
    <row r="298">
      <c r="D298" s="12" t="n"/>
      <c r="E298" s="6" t="n"/>
      <c r="F298" s="6" t="n"/>
      <c r="G298" s="6" t="n"/>
      <c r="H298" s="6" t="n"/>
      <c r="I298" s="6" t="n"/>
      <c r="J298" s="7" t="n"/>
      <c r="K298" s="6" t="n"/>
      <c r="L298" s="7" t="n"/>
    </row>
    <row r="299">
      <c r="D299" s="12" t="n"/>
      <c r="E299" s="6" t="n"/>
      <c r="F299" s="6" t="n"/>
      <c r="G299" s="6" t="n"/>
      <c r="H299" s="6" t="n"/>
      <c r="I299" s="6" t="n"/>
      <c r="J299" s="7" t="n"/>
      <c r="K299" s="6" t="n"/>
      <c r="L299" s="7" t="n"/>
    </row>
    <row r="300">
      <c r="D300" s="12" t="n"/>
      <c r="E300" s="6" t="n"/>
      <c r="F300" s="6" t="n"/>
      <c r="G300" s="6" t="n"/>
      <c r="H300" s="6" t="n"/>
      <c r="I300" s="6" t="n"/>
      <c r="J300" s="7" t="n"/>
      <c r="K300" s="6" t="n"/>
      <c r="L30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6" customWidth="1" min="4" max="4"/>
    <col width="10" customWidth="1" min="5" max="5"/>
    <col width="14" customWidth="1" min="6" max="6"/>
    <col width="20" customWidth="1" min="7" max="7"/>
    <col width="20" customWidth="1" min="8" max="8"/>
  </cols>
  <sheetData>
    <row r="1">
      <c r="A1" s="1" t="inlineStr">
        <is>
          <t>현금투자 현황</t>
        </is>
      </c>
    </row>
    <row r="2">
      <c r="A2" s="2" t="inlineStr">
        <is>
          <t>투자 원금 = 하단 '입출금 · 환전 내역' 누적(자동). 원화는 입금·출금으로, 달러는 환전(달러 매수/매도)으로만 들어오고 나갑니다. 미장 원화 원금 = 달러 원금 × 기준 환율(누적 달러 매수 평균, 자동). 예수금 = 기준 예수금 + 기준일 이후 매도대금 − 매수대금 + 입출금·환전(자동). 기준일 당일 행은 원금 이월분이라 예수금에는 더해지지 않습니다. 파란 칸만 직접 입력합니다.</t>
        </is>
      </c>
    </row>
    <row r="3">
      <c r="A3" s="4" t="inlineStr">
        <is>
          <t>기준일</t>
        </is>
      </c>
      <c r="B3" s="14" t="n">
        <v>46024</v>
      </c>
    </row>
    <row r="5">
      <c r="A5" s="15" t="inlineStr">
        <is>
          <t>원화 계좌 (국장 · KRW)</t>
        </is>
      </c>
    </row>
    <row r="6">
      <c r="A6" s="3" t="inlineStr">
        <is>
          <t>계좌</t>
        </is>
      </c>
      <c r="B6" s="3" t="inlineStr">
        <is>
          <t>투자금 (매수원금)</t>
        </is>
      </c>
      <c r="C6" s="3" t="inlineStr">
        <is>
          <t>예수금</t>
        </is>
      </c>
      <c r="D6" s="3" t="inlineStr">
        <is>
          <t>계좌 합계</t>
        </is>
      </c>
      <c r="E6" s="3" t="inlineStr">
        <is>
          <t>비중</t>
        </is>
      </c>
      <c r="F6" s="3" t="inlineStr">
        <is>
          <t>기준 예수금</t>
        </is>
      </c>
      <c r="G6" s="3" t="inlineStr">
        <is>
          <t>기준일 이후 실현손익</t>
        </is>
      </c>
      <c r="H6" s="3" t="inlineStr">
        <is>
          <t>기준일 이후 입출금·환전</t>
        </is>
      </c>
    </row>
    <row r="7">
      <c r="A7" s="16" t="inlineStr">
        <is>
          <t>메리츠증권</t>
        </is>
      </c>
      <c r="B7" s="5">
        <f>IF($A7="","",SUMIFS('_거래집계'!$D:$D,'_거래집계'!$A:$A,"국장",'_거래집계'!$F:$F,$A7,'_거래집계'!$C:$C,"매수")-SUMIFS('_거래집계'!$D:$D,'_거래집계'!$A:$A,"국장",'_거래집계'!$F:$F,$A7,'_거래집계'!$C:$C,"매도")+SUMIFS('_거래집계'!$E:$E,'_거래집계'!$A:$A,"국장",'_거래집계'!$F:$F,$A7))</f>
        <v/>
      </c>
      <c r="C7" s="5">
        <f>IF($A7="","",N($F7)+SUMIFS('_거래집계'!$D:$D,'_거래집계'!$A:$A,"국장",'_거래집계'!$F:$F,$A7,'_거래집계'!$C:$C,"매도",'_거래집계'!$G:$G,"&gt;"&amp;$B$3)-SUMIFS('_거래집계'!$D:$D,'_거래집계'!$A:$A,"국장",'_거래집계'!$F:$F,$A7,'_거래집계'!$C:$C,"매수",'_거래집계'!$G:$G,"&gt;"&amp;$B$3)+N($H7))</f>
        <v/>
      </c>
      <c r="D7" s="5">
        <f>IF($A7="","",B7+C7)</f>
        <v/>
      </c>
      <c r="E7" s="7">
        <f>IF(OR($A7="",$D$13=0),"",D7/$D$13)</f>
        <v/>
      </c>
      <c r="F7" s="17" t="n">
        <v>7300000</v>
      </c>
      <c r="G7" s="5">
        <f>IF($A7="","",SUMIFS('_거래집계'!$E:$E,'_거래집계'!$A:$A,"국장",'_거래집계'!$F:$F,$A7,'_거래집계'!$G:$G,"&gt;"&amp;$B$3))</f>
        <v/>
      </c>
      <c r="H7" s="5">
        <f>IF($A7="","",SUMIFS($D$36:$D,$C$36:$C,$A7,$B$36:$B,"입금",$A$36:$A,"&gt;"&amp;$B$3)-SUMIFS($D$36:$D,$C$36:$C,$A7,$B$36:$B,"출금",$A$36:$A,"&gt;"&amp;$B$3)-SUMIFS($D$36:$D,$C$36:$C,$A7,$B$36:$B,"달러 매수",$A$36:$A,"&gt;"&amp;$B$3)+SUMIFS($D$36:$D,$C$36:$C,$A7,$B$36:$B,"달러 매도",$A$36:$A,"&gt;"&amp;$B$3))</f>
        <v/>
      </c>
    </row>
    <row r="8">
      <c r="A8" s="16" t="inlineStr">
        <is>
          <t>메리츠 RIA</t>
        </is>
      </c>
      <c r="B8" s="5">
        <f>IF($A8="","",SUMIFS('_거래집계'!$D:$D,'_거래집계'!$A:$A,"국장",'_거래집계'!$F:$F,$A8,'_거래집계'!$C:$C,"매수")-SUMIFS('_거래집계'!$D:$D,'_거래집계'!$A:$A,"국장",'_거래집계'!$F:$F,$A8,'_거래집계'!$C:$C,"매도")+SUMIFS('_거래집계'!$E:$E,'_거래집계'!$A:$A,"국장",'_거래집계'!$F:$F,$A8))</f>
        <v/>
      </c>
      <c r="C8" s="5">
        <f>IF($A8="","",N($F8)+SUMIFS('_거래집계'!$D:$D,'_거래집계'!$A:$A,"국장",'_거래집계'!$F:$F,$A8,'_거래집계'!$C:$C,"매도",'_거래집계'!$G:$G,"&gt;"&amp;$B$3)-SUMIFS('_거래집계'!$D:$D,'_거래집계'!$A:$A,"국장",'_거래집계'!$F:$F,$A8,'_거래집계'!$C:$C,"매수",'_거래집계'!$G:$G,"&gt;"&amp;$B$3)+N($H8))</f>
        <v/>
      </c>
      <c r="D8" s="5">
        <f>IF($A8="","",B8+C8)</f>
        <v/>
      </c>
      <c r="E8" s="7">
        <f>IF(OR($A8="",$D$13=0),"",D8/$D$13)</f>
        <v/>
      </c>
      <c r="F8" s="17" t="n">
        <v>0</v>
      </c>
      <c r="G8" s="5">
        <f>IF($A8="","",SUMIFS('_거래집계'!$E:$E,'_거래집계'!$A:$A,"국장",'_거래집계'!$F:$F,$A8,'_거래집계'!$G:$G,"&gt;"&amp;$B$3))</f>
        <v/>
      </c>
      <c r="H8" s="5">
        <f>IF($A8="","",SUMIFS($D$36:$D,$C$36:$C,$A8,$B$36:$B,"입금",$A$36:$A,"&gt;"&amp;$B$3)-SUMIFS($D$36:$D,$C$36:$C,$A8,$B$36:$B,"출금",$A$36:$A,"&gt;"&amp;$B$3)-SUMIFS($D$36:$D,$C$36:$C,$A8,$B$36:$B,"달러 매수",$A$36:$A,"&gt;"&amp;$B$3)+SUMIFS($D$36:$D,$C$36:$C,$A8,$B$36:$B,"달러 매도",$A$36:$A,"&gt;"&amp;$B$3))</f>
        <v/>
      </c>
    </row>
    <row r="9">
      <c r="A9" s="16" t="inlineStr">
        <is>
          <t>토스증권</t>
        </is>
      </c>
      <c r="B9" s="5">
        <f>IF($A9="","",SUMIFS('_거래집계'!$D:$D,'_거래집계'!$A:$A,"국장",'_거래집계'!$F:$F,$A9,'_거래집계'!$C:$C,"매수")-SUMIFS('_거래집계'!$D:$D,'_거래집계'!$A:$A,"국장",'_거래집계'!$F:$F,$A9,'_거래집계'!$C:$C,"매도")+SUMIFS('_거래집계'!$E:$E,'_거래집계'!$A:$A,"국장",'_거래집계'!$F:$F,$A9))</f>
        <v/>
      </c>
      <c r="C9" s="5">
        <f>IF($A9="","",N($F9)+SUMIFS('_거래집계'!$D:$D,'_거래집계'!$A:$A,"국장",'_거래집계'!$F:$F,$A9,'_거래집계'!$C:$C,"매도",'_거래집계'!$G:$G,"&gt;"&amp;$B$3)-SUMIFS('_거래집계'!$D:$D,'_거래집계'!$A:$A,"국장",'_거래집계'!$F:$F,$A9,'_거래집계'!$C:$C,"매수",'_거래집계'!$G:$G,"&gt;"&amp;$B$3)+N($H9))</f>
        <v/>
      </c>
      <c r="D9" s="5">
        <f>IF($A9="","",B9+C9)</f>
        <v/>
      </c>
      <c r="E9" s="7">
        <f>IF(OR($A9="",$D$13=0),"",D9/$D$13)</f>
        <v/>
      </c>
      <c r="F9" s="17" t="n">
        <v>3000000</v>
      </c>
      <c r="G9" s="5">
        <f>IF($A9="","",SUMIFS('_거래집계'!$E:$E,'_거래집계'!$A:$A,"국장",'_거래집계'!$F:$F,$A9,'_거래집계'!$G:$G,"&gt;"&amp;$B$3))</f>
        <v/>
      </c>
      <c r="H9" s="5">
        <f>IF($A9="","",SUMIFS($D$36:$D,$C$36:$C,$A9,$B$36:$B,"입금",$A$36:$A,"&gt;"&amp;$B$3)-SUMIFS($D$36:$D,$C$36:$C,$A9,$B$36:$B,"출금",$A$36:$A,"&gt;"&amp;$B$3)-SUMIFS($D$36:$D,$C$36:$C,$A9,$B$36:$B,"달러 매수",$A$36:$A,"&gt;"&amp;$B$3)+SUMIFS($D$36:$D,$C$36:$C,$A9,$B$36:$B,"달러 매도",$A$36:$A,"&gt;"&amp;$B$3))</f>
        <v/>
      </c>
    </row>
    <row r="10">
      <c r="A10" s="16" t="inlineStr">
        <is>
          <t>토스 RIA</t>
        </is>
      </c>
      <c r="B10" s="5">
        <f>IF($A10="","",SUMIFS('_거래집계'!$D:$D,'_거래집계'!$A:$A,"국장",'_거래집계'!$F:$F,$A10,'_거래집계'!$C:$C,"매수")-SUMIFS('_거래집계'!$D:$D,'_거래집계'!$A:$A,"국장",'_거래집계'!$F:$F,$A10,'_거래집계'!$C:$C,"매도")+SUMIFS('_거래집계'!$E:$E,'_거래집계'!$A:$A,"국장",'_거래집계'!$F:$F,$A10))</f>
        <v/>
      </c>
      <c r="C10" s="5">
        <f>IF($A10="","",N($F10)+SUMIFS('_거래집계'!$D:$D,'_거래집계'!$A:$A,"국장",'_거래집계'!$F:$F,$A10,'_거래집계'!$C:$C,"매도",'_거래집계'!$G:$G,"&gt;"&amp;$B$3)-SUMIFS('_거래집계'!$D:$D,'_거래집계'!$A:$A,"국장",'_거래집계'!$F:$F,$A10,'_거래집계'!$C:$C,"매수",'_거래집계'!$G:$G,"&gt;"&amp;$B$3)+N($H10))</f>
        <v/>
      </c>
      <c r="D10" s="5">
        <f>IF($A10="","",B10+C10)</f>
        <v/>
      </c>
      <c r="E10" s="7">
        <f>IF(OR($A10="",$D$13=0),"",D10/$D$13)</f>
        <v/>
      </c>
      <c r="F10" s="17" t="n">
        <v>0</v>
      </c>
      <c r="G10" s="5">
        <f>IF($A10="","",SUMIFS('_거래집계'!$E:$E,'_거래집계'!$A:$A,"국장",'_거래집계'!$F:$F,$A10,'_거래집계'!$G:$G,"&gt;"&amp;$B$3))</f>
        <v/>
      </c>
      <c r="H10" s="5">
        <f>IF($A10="","",SUMIFS($D$36:$D,$C$36:$C,$A10,$B$36:$B,"입금",$A$36:$A,"&gt;"&amp;$B$3)-SUMIFS($D$36:$D,$C$36:$C,$A10,$B$36:$B,"출금",$A$36:$A,"&gt;"&amp;$B$3)-SUMIFS($D$36:$D,$C$36:$C,$A10,$B$36:$B,"달러 매수",$A$36:$A,"&gt;"&amp;$B$3)+SUMIFS($D$36:$D,$C$36:$C,$A10,$B$36:$B,"달러 매도",$A$36:$A,"&gt;"&amp;$B$3))</f>
        <v/>
      </c>
    </row>
    <row r="11">
      <c r="B11" s="5">
        <f>IF($A11="","",SUMIFS('_거래집계'!$D:$D,'_거래집계'!$A:$A,"국장",'_거래집계'!$F:$F,$A11,'_거래집계'!$C:$C,"매수")-SUMIFS('_거래집계'!$D:$D,'_거래집계'!$A:$A,"국장",'_거래집계'!$F:$F,$A11,'_거래집계'!$C:$C,"매도")+SUMIFS('_거래집계'!$E:$E,'_거래집계'!$A:$A,"국장",'_거래집계'!$F:$F,$A11))</f>
        <v/>
      </c>
      <c r="C11" s="5">
        <f>IF($A11="","",N($F11)+SUMIFS('_거래집계'!$D:$D,'_거래집계'!$A:$A,"국장",'_거래집계'!$F:$F,$A11,'_거래집계'!$C:$C,"매도",'_거래집계'!$G:$G,"&gt;"&amp;$B$3)-SUMIFS('_거래집계'!$D:$D,'_거래집계'!$A:$A,"국장",'_거래집계'!$F:$F,$A11,'_거래집계'!$C:$C,"매수",'_거래집계'!$G:$G,"&gt;"&amp;$B$3)+N($H11))</f>
        <v/>
      </c>
      <c r="D11" s="5">
        <f>IF($A11="","",B11+C11)</f>
        <v/>
      </c>
      <c r="E11" s="7">
        <f>IF(OR($A11="",$D$13=0),"",D11/$D$13)</f>
        <v/>
      </c>
      <c r="F11" s="5" t="n"/>
      <c r="G11" s="5">
        <f>IF($A11="","",SUMIFS('_거래집계'!$E:$E,'_거래집계'!$A:$A,"국장",'_거래집계'!$F:$F,$A11,'_거래집계'!$G:$G,"&gt;"&amp;$B$3))</f>
        <v/>
      </c>
      <c r="H11" s="5">
        <f>IF($A11="","",SUMIFS($D$36:$D,$C$36:$C,$A11,$B$36:$B,"입금",$A$36:$A,"&gt;"&amp;$B$3)-SUMIFS($D$36:$D,$C$36:$C,$A11,$B$36:$B,"출금",$A$36:$A,"&gt;"&amp;$B$3)-SUMIFS($D$36:$D,$C$36:$C,$A11,$B$36:$B,"달러 매수",$A$36:$A,"&gt;"&amp;$B$3)+SUMIFS($D$36:$D,$C$36:$C,$A11,$B$36:$B,"달러 매도",$A$36:$A,"&gt;"&amp;$B$3))</f>
        <v/>
      </c>
    </row>
    <row r="12">
      <c r="B12" s="5">
        <f>IF($A12="","",SUMIFS('_거래집계'!$D:$D,'_거래집계'!$A:$A,"국장",'_거래집계'!$F:$F,$A12,'_거래집계'!$C:$C,"매수")-SUMIFS('_거래집계'!$D:$D,'_거래집계'!$A:$A,"국장",'_거래집계'!$F:$F,$A12,'_거래집계'!$C:$C,"매도")+SUMIFS('_거래집계'!$E:$E,'_거래집계'!$A:$A,"국장",'_거래집계'!$F:$F,$A12))</f>
        <v/>
      </c>
      <c r="C12" s="5">
        <f>IF($A12="","",N($F12)+SUMIFS('_거래집계'!$D:$D,'_거래집계'!$A:$A,"국장",'_거래집계'!$F:$F,$A12,'_거래집계'!$C:$C,"매도",'_거래집계'!$G:$G,"&gt;"&amp;$B$3)-SUMIFS('_거래집계'!$D:$D,'_거래집계'!$A:$A,"국장",'_거래집계'!$F:$F,$A12,'_거래집계'!$C:$C,"매수",'_거래집계'!$G:$G,"&gt;"&amp;$B$3)+N($H12))</f>
        <v/>
      </c>
      <c r="D12" s="5">
        <f>IF($A12="","",B12+C12)</f>
        <v/>
      </c>
      <c r="E12" s="7">
        <f>IF(OR($A12="",$D$13=0),"",D12/$D$13)</f>
        <v/>
      </c>
      <c r="F12" s="5" t="n"/>
      <c r="G12" s="5">
        <f>IF($A12="","",SUMIFS('_거래집계'!$E:$E,'_거래집계'!$A:$A,"국장",'_거래집계'!$F:$F,$A12,'_거래집계'!$G:$G,"&gt;"&amp;$B$3))</f>
        <v/>
      </c>
      <c r="H12" s="5">
        <f>IF($A12="","",SUMIFS($D$36:$D,$C$36:$C,$A12,$B$36:$B,"입금",$A$36:$A,"&gt;"&amp;$B$3)-SUMIFS($D$36:$D,$C$36:$C,$A12,$B$36:$B,"출금",$A$36:$A,"&gt;"&amp;$B$3)-SUMIFS($D$36:$D,$C$36:$C,$A12,$B$36:$B,"달러 매수",$A$36:$A,"&gt;"&amp;$B$3)+SUMIFS($D$36:$D,$C$36:$C,$A12,$B$36:$B,"달러 매도",$A$36:$A,"&gt;"&amp;$B$3))</f>
        <v/>
      </c>
    </row>
    <row r="13">
      <c r="A13" s="8" t="inlineStr">
        <is>
          <t>합계</t>
        </is>
      </c>
      <c r="B13" s="10">
        <f>SUM(B7:B12)</f>
        <v/>
      </c>
      <c r="C13" s="10">
        <f>SUM(C7:C12)</f>
        <v/>
      </c>
      <c r="D13" s="10">
        <f>SUM(D7:D12)</f>
        <v/>
      </c>
      <c r="E13" s="11">
        <f>SUM(E7:E12)</f>
        <v/>
      </c>
      <c r="F13" s="10">
        <f>SUM(F7:F12)</f>
        <v/>
      </c>
      <c r="G13" s="10">
        <f>SUM(G7:G12)</f>
        <v/>
      </c>
      <c r="H13" s="10">
        <f>SUM(H7:H12)</f>
        <v/>
      </c>
    </row>
    <row r="14">
      <c r="A14" t="inlineStr">
        <is>
          <t>누적 입금 − 출금 (원화)</t>
        </is>
      </c>
      <c r="B14" s="5">
        <f>SUMIFS($D$36:$D,$B$36:$B,"입금")-SUMIFS($D$36:$D,$B$36:$B,"출금")</f>
        <v/>
      </c>
    </row>
    <row r="15">
      <c r="A15" t="inlineStr">
        <is>
          <t>환전 순이동 (달러 매도분 × 기준 환율 − 달러 매수 원화)</t>
        </is>
      </c>
      <c r="B15" s="5">
        <f>-SUMIFS($D$36:$D,$B$36:$B,"달러 매수")+SUMIFS($F$36:$F,$B$36:$B,"달러 매도")*$B$30</f>
        <v/>
      </c>
    </row>
    <row r="16">
      <c r="A16" s="4" t="inlineStr">
        <is>
          <t>투자 원금</t>
        </is>
      </c>
      <c r="B16" s="18">
        <f>B14+B15</f>
        <v/>
      </c>
    </row>
    <row r="18">
      <c r="A18" s="15" t="inlineStr">
        <is>
          <t>달러 계좌 (미장 · USD)</t>
        </is>
      </c>
    </row>
    <row r="19">
      <c r="A19" s="3" t="inlineStr">
        <is>
          <t>계좌</t>
        </is>
      </c>
      <c r="B19" s="3" t="inlineStr">
        <is>
          <t>투자금 (매수원금)</t>
        </is>
      </c>
      <c r="C19" s="3" t="inlineStr">
        <is>
          <t>예수금</t>
        </is>
      </c>
      <c r="D19" s="3" t="inlineStr">
        <is>
          <t>계좌 합계</t>
        </is>
      </c>
      <c r="E19" s="3" t="inlineStr">
        <is>
          <t>비중</t>
        </is>
      </c>
      <c r="F19" s="3" t="inlineStr">
        <is>
          <t>기준 예수금</t>
        </is>
      </c>
      <c r="G19" s="3" t="inlineStr">
        <is>
          <t>기준일 이후 실현손익</t>
        </is>
      </c>
      <c r="H19" s="3" t="inlineStr">
        <is>
          <t>기준일 이후 환전 (달러)</t>
        </is>
      </c>
    </row>
    <row r="20">
      <c r="A20" s="16" t="inlineStr">
        <is>
          <t>메리츠증권</t>
        </is>
      </c>
      <c r="B20" s="6">
        <f>IF($A20="","",SUMIFS('_거래집계'!$D:$D,'_거래집계'!$A:$A,"미장",'_거래집계'!$F:$F,$A20,'_거래집계'!$C:$C,"매수")-SUMIFS('_거래집계'!$D:$D,'_거래집계'!$A:$A,"미장",'_거래집계'!$F:$F,$A20,'_거래집계'!$C:$C,"매도")+SUMIFS('_거래집계'!$E:$E,'_거래집계'!$A:$A,"미장",'_거래집계'!$F:$F,$A20))</f>
        <v/>
      </c>
      <c r="C20" s="6">
        <f>IF($A20="","",N($F20)+SUMIFS('_거래집계'!$D:$D,'_거래집계'!$A:$A,"미장",'_거래집계'!$F:$F,$A20,'_거래집계'!$C:$C,"매도",'_거래집계'!$G:$G,"&gt;"&amp;$B$3)-SUMIFS('_거래집계'!$D:$D,'_거래집계'!$A:$A,"미장",'_거래집계'!$F:$F,$A20,'_거래집계'!$C:$C,"매수",'_거래집계'!$G:$G,"&gt;"&amp;$B$3)+N($H20))</f>
        <v/>
      </c>
      <c r="D20" s="6">
        <f>IF($A20="","",B20+C20)</f>
        <v/>
      </c>
      <c r="E20" s="7">
        <f>IF(OR($A20="",$D$26=0),"",D20/$D$26)</f>
        <v/>
      </c>
      <c r="F20" s="19" t="n">
        <v>2000</v>
      </c>
      <c r="G20" s="6">
        <f>IF($A20="","",SUMIFS('_거래집계'!$E:$E,'_거래집계'!$A:$A,"미장",'_거래집계'!$F:$F,$A20,'_거래집계'!$G:$G,"&gt;"&amp;$B$3))</f>
        <v/>
      </c>
      <c r="H20" s="6">
        <f>IF($A20="","",SUMIFS($F$36:$F,$C$36:$C,$A20,$B$36:$B,"달러 매수",$A$36:$A,"&gt;"&amp;$B$3)-SUMIFS($F$36:$F,$C$36:$C,$A20,$B$36:$B,"달러 매도",$A$36:$A,"&gt;"&amp;$B$3))</f>
        <v/>
      </c>
    </row>
    <row r="21">
      <c r="A21" s="16" t="inlineStr">
        <is>
          <t>토스증권</t>
        </is>
      </c>
      <c r="B21" s="6">
        <f>IF($A21="","",SUMIFS('_거래집계'!$D:$D,'_거래집계'!$A:$A,"미장",'_거래집계'!$F:$F,$A21,'_거래집계'!$C:$C,"매수")-SUMIFS('_거래집계'!$D:$D,'_거래집계'!$A:$A,"미장",'_거래집계'!$F:$F,$A21,'_거래집계'!$C:$C,"매도")+SUMIFS('_거래집계'!$E:$E,'_거래집계'!$A:$A,"미장",'_거래집계'!$F:$F,$A21))</f>
        <v/>
      </c>
      <c r="C21" s="6">
        <f>IF($A21="","",N($F21)+SUMIFS('_거래집계'!$D:$D,'_거래집계'!$A:$A,"미장",'_거래집계'!$F:$F,$A21,'_거래집계'!$C:$C,"매도",'_거래집계'!$G:$G,"&gt;"&amp;$B$3)-SUMIFS('_거래집계'!$D:$D,'_거래집계'!$A:$A,"미장",'_거래집계'!$F:$F,$A21,'_거래집계'!$C:$C,"매수",'_거래집계'!$G:$G,"&gt;"&amp;$B$3)+N($H21))</f>
        <v/>
      </c>
      <c r="D21" s="6">
        <f>IF($A21="","",B21+C21)</f>
        <v/>
      </c>
      <c r="E21" s="7">
        <f>IF(OR($A21="",$D$26=0),"",D21/$D$26)</f>
        <v/>
      </c>
      <c r="F21" s="19" t="n">
        <v>0</v>
      </c>
      <c r="G21" s="6">
        <f>IF($A21="","",SUMIFS('_거래집계'!$E:$E,'_거래집계'!$A:$A,"미장",'_거래집계'!$F:$F,$A21,'_거래집계'!$G:$G,"&gt;"&amp;$B$3))</f>
        <v/>
      </c>
      <c r="H21" s="6">
        <f>IF($A21="","",SUMIFS($F$36:$F,$C$36:$C,$A21,$B$36:$B,"달러 매수",$A$36:$A,"&gt;"&amp;$B$3)-SUMIFS($F$36:$F,$C$36:$C,$A21,$B$36:$B,"달러 매도",$A$36:$A,"&gt;"&amp;$B$3))</f>
        <v/>
      </c>
    </row>
    <row r="22">
      <c r="B22" s="6">
        <f>IF($A22="","",SUMIFS('_거래집계'!$D:$D,'_거래집계'!$A:$A,"미장",'_거래집계'!$F:$F,$A22,'_거래집계'!$C:$C,"매수")-SUMIFS('_거래집계'!$D:$D,'_거래집계'!$A:$A,"미장",'_거래집계'!$F:$F,$A22,'_거래집계'!$C:$C,"매도")+SUMIFS('_거래집계'!$E:$E,'_거래집계'!$A:$A,"미장",'_거래집계'!$F:$F,$A22))</f>
        <v/>
      </c>
      <c r="C22" s="6">
        <f>IF($A22="","",N($F22)+SUMIFS('_거래집계'!$D:$D,'_거래집계'!$A:$A,"미장",'_거래집계'!$F:$F,$A22,'_거래집계'!$C:$C,"매도",'_거래집계'!$G:$G,"&gt;"&amp;$B$3)-SUMIFS('_거래집계'!$D:$D,'_거래집계'!$A:$A,"미장",'_거래집계'!$F:$F,$A22,'_거래집계'!$C:$C,"매수",'_거래집계'!$G:$G,"&gt;"&amp;$B$3)+N($H22))</f>
        <v/>
      </c>
      <c r="D22" s="6">
        <f>IF($A22="","",B22+C22)</f>
        <v/>
      </c>
      <c r="E22" s="7">
        <f>IF(OR($A22="",$D$26=0),"",D22/$D$26)</f>
        <v/>
      </c>
      <c r="F22" s="6" t="n"/>
      <c r="G22" s="6">
        <f>IF($A22="","",SUMIFS('_거래집계'!$E:$E,'_거래집계'!$A:$A,"미장",'_거래집계'!$F:$F,$A22,'_거래집계'!$G:$G,"&gt;"&amp;$B$3))</f>
        <v/>
      </c>
      <c r="H22" s="6">
        <f>IF($A22="","",SUMIFS($F$36:$F,$C$36:$C,$A22,$B$36:$B,"달러 매수",$A$36:$A,"&gt;"&amp;$B$3)-SUMIFS($F$36:$F,$C$36:$C,$A22,$B$36:$B,"달러 매도",$A$36:$A,"&gt;"&amp;$B$3))</f>
        <v/>
      </c>
    </row>
    <row r="23">
      <c r="B23" s="6">
        <f>IF($A23="","",SUMIFS('_거래집계'!$D:$D,'_거래집계'!$A:$A,"미장",'_거래집계'!$F:$F,$A23,'_거래집계'!$C:$C,"매수")-SUMIFS('_거래집계'!$D:$D,'_거래집계'!$A:$A,"미장",'_거래집계'!$F:$F,$A23,'_거래집계'!$C:$C,"매도")+SUMIFS('_거래집계'!$E:$E,'_거래집계'!$A:$A,"미장",'_거래집계'!$F:$F,$A23))</f>
        <v/>
      </c>
      <c r="C23" s="6">
        <f>IF($A23="","",N($F23)+SUMIFS('_거래집계'!$D:$D,'_거래집계'!$A:$A,"미장",'_거래집계'!$F:$F,$A23,'_거래집계'!$C:$C,"매도",'_거래집계'!$G:$G,"&gt;"&amp;$B$3)-SUMIFS('_거래집계'!$D:$D,'_거래집계'!$A:$A,"미장",'_거래집계'!$F:$F,$A23,'_거래집계'!$C:$C,"매수",'_거래집계'!$G:$G,"&gt;"&amp;$B$3)+N($H23))</f>
        <v/>
      </c>
      <c r="D23" s="6">
        <f>IF($A23="","",B23+C23)</f>
        <v/>
      </c>
      <c r="E23" s="7">
        <f>IF(OR($A23="",$D$26=0),"",D23/$D$26)</f>
        <v/>
      </c>
      <c r="F23" s="6" t="n"/>
      <c r="G23" s="6">
        <f>IF($A23="","",SUMIFS('_거래집계'!$E:$E,'_거래집계'!$A:$A,"미장",'_거래집계'!$F:$F,$A23,'_거래집계'!$G:$G,"&gt;"&amp;$B$3))</f>
        <v/>
      </c>
      <c r="H23" s="6">
        <f>IF($A23="","",SUMIFS($F$36:$F,$C$36:$C,$A23,$B$36:$B,"달러 매수",$A$36:$A,"&gt;"&amp;$B$3)-SUMIFS($F$36:$F,$C$36:$C,$A23,$B$36:$B,"달러 매도",$A$36:$A,"&gt;"&amp;$B$3))</f>
        <v/>
      </c>
    </row>
    <row r="24">
      <c r="B24" s="6">
        <f>IF($A24="","",SUMIFS('_거래집계'!$D:$D,'_거래집계'!$A:$A,"미장",'_거래집계'!$F:$F,$A24,'_거래집계'!$C:$C,"매수")-SUMIFS('_거래집계'!$D:$D,'_거래집계'!$A:$A,"미장",'_거래집계'!$F:$F,$A24,'_거래집계'!$C:$C,"매도")+SUMIFS('_거래집계'!$E:$E,'_거래집계'!$A:$A,"미장",'_거래집계'!$F:$F,$A24))</f>
        <v/>
      </c>
      <c r="C24" s="6">
        <f>IF($A24="","",N($F24)+SUMIFS('_거래집계'!$D:$D,'_거래집계'!$A:$A,"미장",'_거래집계'!$F:$F,$A24,'_거래집계'!$C:$C,"매도",'_거래집계'!$G:$G,"&gt;"&amp;$B$3)-SUMIFS('_거래집계'!$D:$D,'_거래집계'!$A:$A,"미장",'_거래집계'!$F:$F,$A24,'_거래집계'!$C:$C,"매수",'_거래집계'!$G:$G,"&gt;"&amp;$B$3)+N($H24))</f>
        <v/>
      </c>
      <c r="D24" s="6">
        <f>IF($A24="","",B24+C24)</f>
        <v/>
      </c>
      <c r="E24" s="7">
        <f>IF(OR($A24="",$D$26=0),"",D24/$D$26)</f>
        <v/>
      </c>
      <c r="F24" s="6" t="n"/>
      <c r="G24" s="6">
        <f>IF($A24="","",SUMIFS('_거래집계'!$E:$E,'_거래집계'!$A:$A,"미장",'_거래집계'!$F:$F,$A24,'_거래집계'!$G:$G,"&gt;"&amp;$B$3))</f>
        <v/>
      </c>
      <c r="H24" s="6">
        <f>IF($A24="","",SUMIFS($F$36:$F,$C$36:$C,$A24,$B$36:$B,"달러 매수",$A$36:$A,"&gt;"&amp;$B$3)-SUMIFS($F$36:$F,$C$36:$C,$A24,$B$36:$B,"달러 매도",$A$36:$A,"&gt;"&amp;$B$3))</f>
        <v/>
      </c>
    </row>
    <row r="25">
      <c r="B25" s="6">
        <f>IF($A25="","",SUMIFS('_거래집계'!$D:$D,'_거래집계'!$A:$A,"미장",'_거래집계'!$F:$F,$A25,'_거래집계'!$C:$C,"매수")-SUMIFS('_거래집계'!$D:$D,'_거래집계'!$A:$A,"미장",'_거래집계'!$F:$F,$A25,'_거래집계'!$C:$C,"매도")+SUMIFS('_거래집계'!$E:$E,'_거래집계'!$A:$A,"미장",'_거래집계'!$F:$F,$A25))</f>
        <v/>
      </c>
      <c r="C25" s="6">
        <f>IF($A25="","",N($F25)+SUMIFS('_거래집계'!$D:$D,'_거래집계'!$A:$A,"미장",'_거래집계'!$F:$F,$A25,'_거래집계'!$C:$C,"매도",'_거래집계'!$G:$G,"&gt;"&amp;$B$3)-SUMIFS('_거래집계'!$D:$D,'_거래집계'!$A:$A,"미장",'_거래집계'!$F:$F,$A25,'_거래집계'!$C:$C,"매수",'_거래집계'!$G:$G,"&gt;"&amp;$B$3)+N($H25))</f>
        <v/>
      </c>
      <c r="D25" s="6">
        <f>IF($A25="","",B25+C25)</f>
        <v/>
      </c>
      <c r="E25" s="7">
        <f>IF(OR($A25="",$D$26=0),"",D25/$D$26)</f>
        <v/>
      </c>
      <c r="F25" s="6" t="n"/>
      <c r="G25" s="6">
        <f>IF($A25="","",SUMIFS('_거래집계'!$E:$E,'_거래집계'!$A:$A,"미장",'_거래집계'!$F:$F,$A25,'_거래집계'!$G:$G,"&gt;"&amp;$B$3))</f>
        <v/>
      </c>
      <c r="H25" s="6">
        <f>IF($A25="","",SUMIFS($F$36:$F,$C$36:$C,$A25,$B$36:$B,"달러 매수",$A$36:$A,"&gt;"&amp;$B$3)-SUMIFS($F$36:$F,$C$36:$C,$A25,$B$36:$B,"달러 매도",$A$36:$A,"&gt;"&amp;$B$3))</f>
        <v/>
      </c>
    </row>
    <row r="26">
      <c r="A26" s="8" t="inlineStr">
        <is>
          <t>합계</t>
        </is>
      </c>
      <c r="B26" s="13">
        <f>SUM(B20:B25)</f>
        <v/>
      </c>
      <c r="C26" s="13">
        <f>SUM(C20:C25)</f>
        <v/>
      </c>
      <c r="D26" s="13">
        <f>SUM(D20:D25)</f>
        <v/>
      </c>
      <c r="E26" s="11">
        <f>SUM(E20:E25)</f>
        <v/>
      </c>
      <c r="F26" s="13">
        <f>SUM(F20:F25)</f>
        <v/>
      </c>
      <c r="G26" s="13">
        <f>SUM(G20:G25)</f>
        <v/>
      </c>
      <c r="H26" s="13">
        <f>SUM(H20:H25)</f>
        <v/>
      </c>
    </row>
    <row r="27">
      <c r="A27" t="inlineStr">
        <is>
          <t>누적 달러 매수</t>
        </is>
      </c>
      <c r="B27" s="6">
        <f>SUMIFS($F$36:$F,$B$36:$B,"달러 매수")</f>
        <v/>
      </c>
    </row>
    <row r="28">
      <c r="A28" t="inlineStr">
        <is>
          <t>누적 달러 매도</t>
        </is>
      </c>
      <c r="B28" s="6">
        <f>-SUMIFS($F$36:$F,$B$36:$B,"달러 매도")</f>
        <v/>
      </c>
    </row>
    <row r="29">
      <c r="A29" s="4" t="inlineStr">
        <is>
          <t>투자 원금</t>
        </is>
      </c>
      <c r="B29" s="20">
        <f>B27+B28</f>
        <v/>
      </c>
    </row>
    <row r="30">
      <c r="A30" t="inlineStr">
        <is>
          <t>기준 환율 (누적 달러 매수 평균 · 자동)</t>
        </is>
      </c>
      <c r="B30" s="21">
        <f>IF(B27=0,FX_USDKRW,SUMIFS($D$36:$D,$B$36:$B,"달러 매수")/B27)</f>
        <v/>
      </c>
      <c r="C30" t="inlineStr">
        <is>
          <t>현재 환율 (설정 B5)</t>
        </is>
      </c>
      <c r="D30" s="21">
        <f>FX_USDKRW</f>
        <v/>
      </c>
    </row>
    <row r="31">
      <c r="A31" t="inlineStr">
        <is>
          <t>투자 원금 (원화 환산)</t>
        </is>
      </c>
      <c r="B31" s="5">
        <f>B29*B30</f>
        <v/>
      </c>
      <c r="C31" t="inlineStr">
        <is>
          <t>환차손익 (미실현, 원금 기준)</t>
        </is>
      </c>
      <c r="D31" s="5">
        <f>B29*FX_USDKRW-B31</f>
        <v/>
      </c>
    </row>
    <row r="32">
      <c r="A32" t="inlineStr">
        <is>
          <t>목록에 없는 거래 계좌</t>
        </is>
      </c>
      <c r="B32">
        <f>ARRAYFORMULA(LET(m,'_거래집계'!A2:A,f,'_거래집계'!F2:F,acc,UNIQUE(FILTER(m&amp;" · "&amp;f,m&lt;&gt;"")),reg,VSTACK("국장 · "&amp;A7:A12,"미장 · "&amp;A20:A25),miss,FILTER(acc,ISNA(MATCH(acc,reg,0))),IFERROR(TEXTJOIN(", ",TRUE,miss),"없음 ✓")))</f>
        <v/>
      </c>
      <c r="C32" t="inlineStr">
        <is>
          <t>환전 실현손익 (달러 매도)</t>
        </is>
      </c>
      <c r="D32" s="5">
        <f>SUMIFS($D$36:$D,$B$36:$B,"달러 매도")-SUMIFS($F$36:$F,$B$36:$B,"달러 매도")*$B$30</f>
        <v/>
      </c>
    </row>
    <row r="34">
      <c r="A34" s="15" t="inlineStr">
        <is>
          <t>입출금 · 환전 내역 (원금 산정 기준)</t>
        </is>
      </c>
    </row>
    <row r="35">
      <c r="A35" s="3" t="inlineStr">
        <is>
          <t>일자</t>
        </is>
      </c>
      <c r="B35" s="3" t="inlineStr">
        <is>
          <t>구분</t>
        </is>
      </c>
      <c r="C35" s="3" t="inlineStr">
        <is>
          <t>계좌</t>
        </is>
      </c>
      <c r="D35" s="3" t="inlineStr">
        <is>
          <t>원화 금액</t>
        </is>
      </c>
      <c r="E35" s="3" t="inlineStr">
        <is>
          <t>적용 환율</t>
        </is>
      </c>
      <c r="F35" s="3" t="inlineStr">
        <is>
          <t>달러 금액</t>
        </is>
      </c>
      <c r="G35" s="3" t="inlineStr">
        <is>
          <t>메모</t>
        </is>
      </c>
    </row>
    <row r="36">
      <c r="A36" s="14" t="n">
        <v>46024</v>
      </c>
      <c r="B36" s="16" t="inlineStr">
        <is>
          <t>입금</t>
        </is>
      </c>
      <c r="C36" s="16" t="inlineStr">
        <is>
          <t>메리츠증권</t>
        </is>
      </c>
      <c r="D36" s="17" t="n">
        <v>10000000</v>
      </c>
      <c r="E36" s="21" t="n"/>
      <c r="F36" s="6" t="n"/>
      <c r="G36" s="16" t="inlineStr">
        <is>
          <t>샘플: 기준일 원금 이월</t>
        </is>
      </c>
    </row>
    <row r="37">
      <c r="A37" s="14" t="n">
        <v>46024</v>
      </c>
      <c r="B37" s="16" t="inlineStr">
        <is>
          <t>입금</t>
        </is>
      </c>
      <c r="C37" s="16" t="inlineStr">
        <is>
          <t>토스증권</t>
        </is>
      </c>
      <c r="D37" s="17" t="n">
        <v>3000000</v>
      </c>
      <c r="E37" s="21" t="n"/>
      <c r="F37" s="6" t="n"/>
      <c r="G37" s="16" t="inlineStr">
        <is>
          <t>샘플: 기준일 원금 이월</t>
        </is>
      </c>
    </row>
    <row r="38">
      <c r="A38" s="14" t="n">
        <v>46024</v>
      </c>
      <c r="B38" s="16" t="inlineStr">
        <is>
          <t>달러 매수</t>
        </is>
      </c>
      <c r="C38" s="16" t="inlineStr">
        <is>
          <t>메리츠증권</t>
        </is>
      </c>
      <c r="D38" s="17" t="n">
        <v>2700000</v>
      </c>
      <c r="E38" s="22" t="n">
        <v>1350</v>
      </c>
      <c r="F38" s="19" t="n">
        <v>2000</v>
      </c>
      <c r="G38" s="16" t="inlineStr">
        <is>
          <t>샘플: 기준일 달러 원금 이월</t>
        </is>
      </c>
    </row>
    <row r="39">
      <c r="A39" s="14" t="n">
        <v>46055</v>
      </c>
      <c r="B39" s="16" t="inlineStr">
        <is>
          <t>입금</t>
        </is>
      </c>
      <c r="C39" s="16" t="inlineStr">
        <is>
          <t>토스증권</t>
        </is>
      </c>
      <c r="D39" s="17" t="n">
        <v>1000000</v>
      </c>
      <c r="E39" s="21" t="n"/>
      <c r="F39" s="6" t="n"/>
      <c r="G39" s="16" t="inlineStr">
        <is>
          <t>샘플: 추가 입금</t>
        </is>
      </c>
    </row>
    <row r="40">
      <c r="A40" s="14" t="n">
        <v>46084</v>
      </c>
      <c r="B40" s="16" t="inlineStr">
        <is>
          <t>달러 매수</t>
        </is>
      </c>
      <c r="C40" s="16" t="inlineStr">
        <is>
          <t>토스증권</t>
        </is>
      </c>
      <c r="D40" s="17" t="n">
        <v>676000</v>
      </c>
      <c r="E40" s="22" t="n">
        <v>1352</v>
      </c>
      <c r="F40" s="19" t="n">
        <v>500</v>
      </c>
      <c r="G40" s="16" t="inlineStr">
        <is>
          <t>샘플: 환전</t>
        </is>
      </c>
    </row>
    <row r="41">
      <c r="A41" s="23" t="n"/>
      <c r="D41" s="5" t="n"/>
      <c r="E41" s="21" t="n"/>
      <c r="F41" s="6" t="n"/>
    </row>
    <row r="42">
      <c r="A42" s="23" t="n"/>
      <c r="D42" s="5" t="n"/>
      <c r="E42" s="21" t="n"/>
      <c r="F42" s="6" t="n"/>
    </row>
    <row r="43">
      <c r="A43" s="23" t="n"/>
      <c r="D43" s="5" t="n"/>
      <c r="E43" s="21" t="n"/>
      <c r="F43" s="6" t="n"/>
    </row>
    <row r="44">
      <c r="A44" s="23" t="n"/>
      <c r="D44" s="5" t="n"/>
      <c r="E44" s="21" t="n"/>
      <c r="F44" s="6" t="n"/>
    </row>
    <row r="45">
      <c r="A45" s="23" t="n"/>
      <c r="D45" s="5" t="n"/>
      <c r="E45" s="21" t="n"/>
      <c r="F45" s="6" t="n"/>
    </row>
    <row r="46">
      <c r="A46" s="23" t="n"/>
      <c r="D46" s="5" t="n"/>
      <c r="E46" s="21" t="n"/>
      <c r="F46" s="6" t="n"/>
    </row>
    <row r="47">
      <c r="A47" s="23" t="n"/>
      <c r="D47" s="5" t="n"/>
      <c r="E47" s="21" t="n"/>
      <c r="F47" s="6" t="n"/>
    </row>
    <row r="48">
      <c r="A48" s="23" t="n"/>
      <c r="D48" s="5" t="n"/>
      <c r="E48" s="21" t="n"/>
      <c r="F48" s="6" t="n"/>
    </row>
    <row r="49">
      <c r="A49" s="23" t="n"/>
      <c r="D49" s="5" t="n"/>
      <c r="E49" s="21" t="n"/>
      <c r="F49" s="6" t="n"/>
    </row>
    <row r="50">
      <c r="A50" s="23" t="n"/>
      <c r="D50" s="5" t="n"/>
      <c r="E50" s="21" t="n"/>
      <c r="F50" s="6" t="n"/>
    </row>
    <row r="51">
      <c r="A51" s="23" t="n"/>
      <c r="D51" s="5" t="n"/>
      <c r="E51" s="21" t="n"/>
      <c r="F51" s="6" t="n"/>
    </row>
    <row r="52">
      <c r="A52" s="23" t="n"/>
      <c r="D52" s="5" t="n"/>
      <c r="E52" s="21" t="n"/>
      <c r="F52" s="6" t="n"/>
    </row>
    <row r="53">
      <c r="A53" s="23" t="n"/>
      <c r="D53" s="5" t="n"/>
      <c r="E53" s="21" t="n"/>
      <c r="F53" s="6" t="n"/>
    </row>
    <row r="54">
      <c r="A54" s="23" t="n"/>
      <c r="D54" s="5" t="n"/>
      <c r="E54" s="21" t="n"/>
      <c r="F54" s="6" t="n"/>
    </row>
    <row r="55">
      <c r="A55" s="23" t="n"/>
      <c r="D55" s="5" t="n"/>
      <c r="E55" s="21" t="n"/>
      <c r="F55" s="6" t="n"/>
    </row>
    <row r="56">
      <c r="A56" s="23" t="n"/>
      <c r="D56" s="5" t="n"/>
      <c r="E56" s="21" t="n"/>
      <c r="F56" s="6" t="n"/>
    </row>
    <row r="57">
      <c r="A57" s="23" t="n"/>
      <c r="D57" s="5" t="n"/>
      <c r="E57" s="21" t="n"/>
      <c r="F57" s="6" t="n"/>
    </row>
    <row r="58">
      <c r="A58" s="23" t="n"/>
      <c r="D58" s="5" t="n"/>
      <c r="E58" s="21" t="n"/>
      <c r="F58" s="6" t="n"/>
    </row>
    <row r="59">
      <c r="A59" s="23" t="n"/>
      <c r="D59" s="5" t="n"/>
      <c r="E59" s="21" t="n"/>
      <c r="F59" s="6" t="n"/>
    </row>
    <row r="60">
      <c r="A60" s="23" t="n"/>
      <c r="D60" s="5" t="n"/>
      <c r="E60" s="21" t="n"/>
      <c r="F60" s="6" t="n"/>
    </row>
    <row r="61">
      <c r="A61" s="23" t="n"/>
      <c r="D61" s="5" t="n"/>
      <c r="E61" s="21" t="n"/>
      <c r="F61" s="6" t="n"/>
    </row>
    <row r="62">
      <c r="A62" s="23" t="n"/>
      <c r="D62" s="5" t="n"/>
      <c r="E62" s="21" t="n"/>
      <c r="F62" s="6" t="n"/>
    </row>
    <row r="63">
      <c r="A63" s="23" t="n"/>
      <c r="D63" s="5" t="n"/>
      <c r="E63" s="21" t="n"/>
      <c r="F63" s="6" t="n"/>
    </row>
    <row r="64">
      <c r="A64" s="23" t="n"/>
      <c r="D64" s="5" t="n"/>
      <c r="E64" s="21" t="n"/>
      <c r="F64" s="6" t="n"/>
    </row>
    <row r="65">
      <c r="A65" s="23" t="n"/>
      <c r="D65" s="5" t="n"/>
      <c r="E65" s="21" t="n"/>
      <c r="F65" s="6" t="n"/>
    </row>
    <row r="66">
      <c r="A66" s="23" t="n"/>
      <c r="D66" s="5" t="n"/>
      <c r="E66" s="21" t="n"/>
      <c r="F66" s="6" t="n"/>
    </row>
    <row r="67">
      <c r="A67" s="23" t="n"/>
      <c r="D67" s="5" t="n"/>
      <c r="E67" s="21" t="n"/>
      <c r="F67" s="6" t="n"/>
    </row>
    <row r="68">
      <c r="A68" s="23" t="n"/>
      <c r="D68" s="5" t="n"/>
      <c r="E68" s="21" t="n"/>
      <c r="F68" s="6" t="n"/>
    </row>
    <row r="69">
      <c r="A69" s="23" t="n"/>
      <c r="D69" s="5" t="n"/>
      <c r="E69" s="21" t="n"/>
      <c r="F69" s="6" t="n"/>
    </row>
    <row r="70">
      <c r="A70" s="23" t="n"/>
      <c r="D70" s="5" t="n"/>
      <c r="E70" s="21" t="n"/>
      <c r="F70" s="6" t="n"/>
    </row>
    <row r="71">
      <c r="A71" s="23" t="n"/>
      <c r="D71" s="5" t="n"/>
      <c r="E71" s="21" t="n"/>
      <c r="F71" s="6" t="n"/>
    </row>
    <row r="72">
      <c r="A72" s="23" t="n"/>
      <c r="D72" s="5" t="n"/>
      <c r="E72" s="21" t="n"/>
      <c r="F72" s="6" t="n"/>
    </row>
    <row r="73">
      <c r="A73" s="23" t="n"/>
      <c r="D73" s="5" t="n"/>
      <c r="E73" s="21" t="n"/>
      <c r="F73" s="6" t="n"/>
    </row>
    <row r="74">
      <c r="A74" s="23" t="n"/>
      <c r="D74" s="5" t="n"/>
      <c r="E74" s="21" t="n"/>
      <c r="F74" s="6" t="n"/>
    </row>
    <row r="75">
      <c r="A75" s="23" t="n"/>
      <c r="D75" s="5" t="n"/>
      <c r="E75" s="21" t="n"/>
      <c r="F75" s="6" t="n"/>
    </row>
    <row r="76">
      <c r="A76" s="23" t="n"/>
      <c r="D76" s="5" t="n"/>
      <c r="E76" s="21" t="n"/>
      <c r="F76" s="6" t="n"/>
    </row>
    <row r="77">
      <c r="A77" s="23" t="n"/>
      <c r="D77" s="5" t="n"/>
      <c r="E77" s="21" t="n"/>
      <c r="F77" s="6" t="n"/>
    </row>
    <row r="78">
      <c r="A78" s="23" t="n"/>
      <c r="D78" s="5" t="n"/>
      <c r="E78" s="21" t="n"/>
      <c r="F78" s="6" t="n"/>
    </row>
    <row r="79">
      <c r="A79" s="23" t="n"/>
      <c r="D79" s="5" t="n"/>
      <c r="E79" s="21" t="n"/>
      <c r="F79" s="6" t="n"/>
    </row>
    <row r="80">
      <c r="A80" s="23" t="n"/>
      <c r="D80" s="5" t="n"/>
      <c r="E80" s="21" t="n"/>
      <c r="F80" s="6" t="n"/>
    </row>
    <row r="81">
      <c r="A81" s="23" t="n"/>
      <c r="D81" s="5" t="n"/>
      <c r="E81" s="21" t="n"/>
      <c r="F81" s="6" t="n"/>
    </row>
    <row r="82">
      <c r="A82" s="23" t="n"/>
      <c r="D82" s="5" t="n"/>
      <c r="E82" s="21" t="n"/>
      <c r="F82" s="6" t="n"/>
    </row>
    <row r="83">
      <c r="A83" s="23" t="n"/>
      <c r="D83" s="5" t="n"/>
      <c r="E83" s="21" t="n"/>
      <c r="F83" s="6" t="n"/>
    </row>
    <row r="84">
      <c r="A84" s="23" t="n"/>
      <c r="D84" s="5" t="n"/>
      <c r="E84" s="21" t="n"/>
      <c r="F84" s="6" t="n"/>
    </row>
    <row r="85">
      <c r="A85" s="23" t="n"/>
      <c r="D85" s="5" t="n"/>
      <c r="E85" s="21" t="n"/>
      <c r="F85" s="6" t="n"/>
    </row>
    <row r="86">
      <c r="A86" s="23" t="n"/>
      <c r="D86" s="5" t="n"/>
      <c r="E86" s="21" t="n"/>
      <c r="F86" s="6" t="n"/>
    </row>
    <row r="87">
      <c r="A87" s="23" t="n"/>
      <c r="D87" s="5" t="n"/>
      <c r="E87" s="21" t="n"/>
      <c r="F87" s="6" t="n"/>
    </row>
    <row r="88">
      <c r="A88" s="23" t="n"/>
      <c r="D88" s="5" t="n"/>
      <c r="E88" s="21" t="n"/>
      <c r="F88" s="6" t="n"/>
    </row>
    <row r="89">
      <c r="A89" s="23" t="n"/>
      <c r="D89" s="5" t="n"/>
      <c r="E89" s="21" t="n"/>
      <c r="F89" s="6" t="n"/>
    </row>
    <row r="90">
      <c r="A90" s="23" t="n"/>
      <c r="D90" s="5" t="n"/>
      <c r="E90" s="21" t="n"/>
      <c r="F90" s="6" t="n"/>
    </row>
    <row r="91">
      <c r="A91" s="23" t="n"/>
      <c r="D91" s="5" t="n"/>
      <c r="E91" s="21" t="n"/>
      <c r="F91" s="6" t="n"/>
    </row>
    <row r="92">
      <c r="A92" s="23" t="n"/>
      <c r="D92" s="5" t="n"/>
      <c r="E92" s="21" t="n"/>
      <c r="F92" s="6" t="n"/>
    </row>
    <row r="93">
      <c r="A93" s="23" t="n"/>
      <c r="D93" s="5" t="n"/>
      <c r="E93" s="21" t="n"/>
      <c r="F93" s="6" t="n"/>
    </row>
    <row r="94">
      <c r="A94" s="23" t="n"/>
      <c r="D94" s="5" t="n"/>
      <c r="E94" s="21" t="n"/>
      <c r="F94" s="6" t="n"/>
    </row>
    <row r="95">
      <c r="A95" s="23" t="n"/>
      <c r="D95" s="5" t="n"/>
      <c r="E95" s="21" t="n"/>
      <c r="F95" s="6" t="n"/>
    </row>
    <row r="96">
      <c r="A96" s="23" t="n"/>
      <c r="D96" s="5" t="n"/>
      <c r="E96" s="21" t="n"/>
      <c r="F96" s="6" t="n"/>
    </row>
    <row r="97">
      <c r="A97" s="23" t="n"/>
      <c r="D97" s="5" t="n"/>
      <c r="E97" s="21" t="n"/>
      <c r="F97" s="6" t="n"/>
    </row>
    <row r="98">
      <c r="A98" s="23" t="n"/>
      <c r="D98" s="5" t="n"/>
      <c r="E98" s="21" t="n"/>
      <c r="F98" s="6" t="n"/>
    </row>
    <row r="99">
      <c r="A99" s="23" t="n"/>
      <c r="D99" s="5" t="n"/>
      <c r="E99" s="21" t="n"/>
      <c r="F99" s="6" t="n"/>
    </row>
    <row r="100">
      <c r="A100" s="23" t="n"/>
      <c r="D100" s="5" t="n"/>
      <c r="E100" s="21" t="n"/>
      <c r="F100" s="6" t="n"/>
    </row>
    <row r="101">
      <c r="A101" s="23" t="n"/>
      <c r="D101" s="5" t="n"/>
      <c r="E101" s="21" t="n"/>
      <c r="F101" s="6" t="n"/>
    </row>
    <row r="102">
      <c r="A102" s="23" t="n"/>
      <c r="D102" s="5" t="n"/>
      <c r="E102" s="21" t="n"/>
      <c r="F102" s="6" t="n"/>
    </row>
    <row r="103">
      <c r="A103" s="23" t="n"/>
      <c r="D103" s="5" t="n"/>
      <c r="E103" s="21" t="n"/>
      <c r="F103" s="6" t="n"/>
    </row>
    <row r="104">
      <c r="A104" s="23" t="n"/>
      <c r="D104" s="5" t="n"/>
      <c r="E104" s="21" t="n"/>
      <c r="F104" s="6" t="n"/>
    </row>
    <row r="105">
      <c r="A105" s="23" t="n"/>
      <c r="D105" s="5" t="n"/>
      <c r="E105" s="21" t="n"/>
      <c r="F105" s="6" t="n"/>
    </row>
    <row r="106">
      <c r="A106" s="23" t="n"/>
      <c r="D106" s="5" t="n"/>
      <c r="E106" s="21" t="n"/>
      <c r="F106" s="6" t="n"/>
    </row>
    <row r="107">
      <c r="A107" s="23" t="n"/>
      <c r="D107" s="5" t="n"/>
      <c r="E107" s="21" t="n"/>
      <c r="F107" s="6" t="n"/>
    </row>
    <row r="108">
      <c r="A108" s="23" t="n"/>
      <c r="D108" s="5" t="n"/>
      <c r="E108" s="21" t="n"/>
      <c r="F108" s="6" t="n"/>
    </row>
    <row r="109">
      <c r="A109" s="23" t="n"/>
      <c r="D109" s="5" t="n"/>
      <c r="E109" s="21" t="n"/>
      <c r="F109" s="6" t="n"/>
    </row>
    <row r="110">
      <c r="A110" s="23" t="n"/>
      <c r="D110" s="5" t="n"/>
      <c r="E110" s="21" t="n"/>
      <c r="F110" s="6" t="n"/>
    </row>
    <row r="111">
      <c r="A111" s="23" t="n"/>
      <c r="D111" s="5" t="n"/>
      <c r="E111" s="21" t="n"/>
      <c r="F111" s="6" t="n"/>
    </row>
    <row r="112">
      <c r="A112" s="23" t="n"/>
      <c r="D112" s="5" t="n"/>
      <c r="E112" s="21" t="n"/>
      <c r="F112" s="6" t="n"/>
    </row>
    <row r="113">
      <c r="A113" s="23" t="n"/>
      <c r="D113" s="5" t="n"/>
      <c r="E113" s="21" t="n"/>
      <c r="F113" s="6" t="n"/>
    </row>
    <row r="114">
      <c r="A114" s="23" t="n"/>
      <c r="D114" s="5" t="n"/>
      <c r="E114" s="21" t="n"/>
      <c r="F114" s="6" t="n"/>
    </row>
    <row r="115">
      <c r="A115" s="23" t="n"/>
      <c r="D115" s="5" t="n"/>
      <c r="E115" s="21" t="n"/>
      <c r="F115" s="6" t="n"/>
    </row>
    <row r="116">
      <c r="A116" s="23" t="n"/>
      <c r="D116" s="5" t="n"/>
      <c r="E116" s="21" t="n"/>
      <c r="F116" s="6" t="n"/>
    </row>
    <row r="117">
      <c r="A117" s="23" t="n"/>
      <c r="D117" s="5" t="n"/>
      <c r="E117" s="21" t="n"/>
      <c r="F117" s="6" t="n"/>
    </row>
    <row r="118">
      <c r="A118" s="23" t="n"/>
      <c r="D118" s="5" t="n"/>
      <c r="E118" s="21" t="n"/>
      <c r="F118" s="6" t="n"/>
    </row>
    <row r="119">
      <c r="A119" s="23" t="n"/>
      <c r="D119" s="5" t="n"/>
      <c r="E119" s="21" t="n"/>
      <c r="F119" s="6" t="n"/>
    </row>
    <row r="120">
      <c r="A120" s="23" t="n"/>
      <c r="D120" s="5" t="n"/>
      <c r="E120" s="21" t="n"/>
      <c r="F120" s="6" t="n"/>
    </row>
    <row r="121">
      <c r="A121" s="23" t="n"/>
      <c r="D121" s="5" t="n"/>
      <c r="E121" s="21" t="n"/>
      <c r="F121" s="6" t="n"/>
    </row>
    <row r="122">
      <c r="A122" s="23" t="n"/>
      <c r="D122" s="5" t="n"/>
      <c r="E122" s="21" t="n"/>
      <c r="F122" s="6" t="n"/>
    </row>
    <row r="123">
      <c r="A123" s="23" t="n"/>
      <c r="D123" s="5" t="n"/>
      <c r="E123" s="21" t="n"/>
      <c r="F123" s="6" t="n"/>
    </row>
    <row r="124">
      <c r="A124" s="23" t="n"/>
      <c r="D124" s="5" t="n"/>
      <c r="E124" s="21" t="n"/>
      <c r="F124" s="6" t="n"/>
    </row>
    <row r="125">
      <c r="A125" s="23" t="n"/>
      <c r="D125" s="5" t="n"/>
      <c r="E125" s="21" t="n"/>
      <c r="F125" s="6" t="n"/>
    </row>
    <row r="126">
      <c r="A126" s="23" t="n"/>
      <c r="D126" s="5" t="n"/>
      <c r="E126" s="21" t="n"/>
      <c r="F126" s="6" t="n"/>
    </row>
    <row r="127">
      <c r="A127" s="23" t="n"/>
      <c r="D127" s="5" t="n"/>
      <c r="E127" s="21" t="n"/>
      <c r="F127" s="6" t="n"/>
    </row>
    <row r="128">
      <c r="A128" s="23" t="n"/>
      <c r="D128" s="5" t="n"/>
      <c r="E128" s="21" t="n"/>
      <c r="F128" s="6" t="n"/>
    </row>
    <row r="129">
      <c r="A129" s="23" t="n"/>
      <c r="D129" s="5" t="n"/>
      <c r="E129" s="21" t="n"/>
      <c r="F129" s="6" t="n"/>
    </row>
    <row r="130">
      <c r="A130" s="23" t="n"/>
      <c r="D130" s="5" t="n"/>
      <c r="E130" s="21" t="n"/>
      <c r="F130" s="6" t="n"/>
    </row>
    <row r="131">
      <c r="A131" s="23" t="n"/>
      <c r="D131" s="5" t="n"/>
      <c r="E131" s="21" t="n"/>
      <c r="F131" s="6" t="n"/>
    </row>
    <row r="132">
      <c r="A132" s="23" t="n"/>
      <c r="D132" s="5" t="n"/>
      <c r="E132" s="21" t="n"/>
      <c r="F132" s="6" t="n"/>
    </row>
    <row r="133">
      <c r="A133" s="23" t="n"/>
      <c r="D133" s="5" t="n"/>
      <c r="E133" s="21" t="n"/>
      <c r="F133" s="6" t="n"/>
    </row>
    <row r="134">
      <c r="A134" s="23" t="n"/>
      <c r="D134" s="5" t="n"/>
      <c r="E134" s="21" t="n"/>
      <c r="F134" s="6" t="n"/>
    </row>
    <row r="135">
      <c r="A135" s="23" t="n"/>
      <c r="D135" s="5" t="n"/>
      <c r="E135" s="21" t="n"/>
      <c r="F135" s="6" t="n"/>
    </row>
    <row r="136">
      <c r="A136" s="23" t="n"/>
      <c r="D136" s="5" t="n"/>
      <c r="E136" s="21" t="n"/>
      <c r="F136" s="6" t="n"/>
    </row>
    <row r="137">
      <c r="A137" s="23" t="n"/>
      <c r="D137" s="5" t="n"/>
      <c r="E137" s="21" t="n"/>
      <c r="F137" s="6" t="n"/>
    </row>
    <row r="138">
      <c r="A138" s="23" t="n"/>
      <c r="D138" s="5" t="n"/>
      <c r="E138" s="21" t="n"/>
      <c r="F138" s="6" t="n"/>
    </row>
    <row r="139">
      <c r="A139" s="23" t="n"/>
      <c r="D139" s="5" t="n"/>
      <c r="E139" s="21" t="n"/>
      <c r="F139" s="6" t="n"/>
    </row>
    <row r="140">
      <c r="A140" s="23" t="n"/>
      <c r="D140" s="5" t="n"/>
      <c r="E140" s="21" t="n"/>
      <c r="F140" s="6" t="n"/>
    </row>
    <row r="141">
      <c r="A141" s="23" t="n"/>
      <c r="D141" s="5" t="n"/>
      <c r="E141" s="21" t="n"/>
      <c r="F141" s="6" t="n"/>
    </row>
    <row r="142">
      <c r="A142" s="23" t="n"/>
      <c r="D142" s="5" t="n"/>
      <c r="E142" s="21" t="n"/>
      <c r="F142" s="6" t="n"/>
    </row>
    <row r="143">
      <c r="A143" s="23" t="n"/>
      <c r="D143" s="5" t="n"/>
      <c r="E143" s="21" t="n"/>
      <c r="F143" s="6" t="n"/>
    </row>
    <row r="144">
      <c r="A144" s="23" t="n"/>
      <c r="D144" s="5" t="n"/>
      <c r="E144" s="21" t="n"/>
      <c r="F144" s="6" t="n"/>
    </row>
    <row r="145">
      <c r="A145" s="23" t="n"/>
      <c r="D145" s="5" t="n"/>
      <c r="E145" s="21" t="n"/>
      <c r="F145" s="6" t="n"/>
    </row>
    <row r="146">
      <c r="A146" s="23" t="n"/>
      <c r="D146" s="5" t="n"/>
      <c r="E146" s="21" t="n"/>
      <c r="F146" s="6" t="n"/>
    </row>
    <row r="147">
      <c r="A147" s="23" t="n"/>
      <c r="D147" s="5" t="n"/>
      <c r="E147" s="21" t="n"/>
      <c r="F147" s="6" t="n"/>
    </row>
    <row r="148">
      <c r="A148" s="23" t="n"/>
      <c r="D148" s="5" t="n"/>
      <c r="E148" s="21" t="n"/>
      <c r="F148" s="6" t="n"/>
    </row>
    <row r="149">
      <c r="A149" s="23" t="n"/>
      <c r="D149" s="5" t="n"/>
      <c r="E149" s="21" t="n"/>
      <c r="F149" s="6" t="n"/>
    </row>
    <row r="150">
      <c r="A150" s="23" t="n"/>
      <c r="D150" s="5" t="n"/>
      <c r="E150" s="21" t="n"/>
      <c r="F150" s="6" t="n"/>
    </row>
    <row r="151">
      <c r="A151" s="23" t="n"/>
      <c r="D151" s="5" t="n"/>
      <c r="E151" s="21" t="n"/>
      <c r="F151" s="6" t="n"/>
    </row>
    <row r="152">
      <c r="A152" s="23" t="n"/>
      <c r="D152" s="5" t="n"/>
      <c r="E152" s="21" t="n"/>
      <c r="F152" s="6" t="n"/>
    </row>
    <row r="153">
      <c r="A153" s="23" t="n"/>
      <c r="D153" s="5" t="n"/>
      <c r="E153" s="21" t="n"/>
      <c r="F153" s="6" t="n"/>
    </row>
    <row r="154">
      <c r="A154" s="23" t="n"/>
      <c r="D154" s="5" t="n"/>
      <c r="E154" s="21" t="n"/>
      <c r="F154" s="6" t="n"/>
    </row>
    <row r="155">
      <c r="A155" s="23" t="n"/>
      <c r="D155" s="5" t="n"/>
      <c r="E155" s="21" t="n"/>
      <c r="F155" s="6" t="n"/>
    </row>
    <row r="156">
      <c r="A156" s="23" t="n"/>
      <c r="D156" s="5" t="n"/>
      <c r="E156" s="21" t="n"/>
      <c r="F156" s="6" t="n"/>
    </row>
    <row r="157">
      <c r="A157" s="23" t="n"/>
      <c r="D157" s="5" t="n"/>
      <c r="E157" s="21" t="n"/>
      <c r="F157" s="6" t="n"/>
    </row>
    <row r="158">
      <c r="A158" s="23" t="n"/>
      <c r="D158" s="5" t="n"/>
      <c r="E158" s="21" t="n"/>
      <c r="F158" s="6" t="n"/>
    </row>
    <row r="159">
      <c r="A159" s="23" t="n"/>
      <c r="D159" s="5" t="n"/>
      <c r="E159" s="21" t="n"/>
      <c r="F159" s="6" t="n"/>
    </row>
    <row r="160">
      <c r="A160" s="23" t="n"/>
      <c r="D160" s="5" t="n"/>
      <c r="E160" s="21" t="n"/>
      <c r="F160" s="6" t="n"/>
    </row>
    <row r="161">
      <c r="A161" s="23" t="n"/>
      <c r="D161" s="5" t="n"/>
      <c r="E161" s="21" t="n"/>
      <c r="F161" s="6" t="n"/>
    </row>
    <row r="162">
      <c r="A162" s="23" t="n"/>
      <c r="D162" s="5" t="n"/>
      <c r="E162" s="21" t="n"/>
      <c r="F162" s="6" t="n"/>
    </row>
    <row r="163">
      <c r="A163" s="23" t="n"/>
      <c r="D163" s="5" t="n"/>
      <c r="E163" s="21" t="n"/>
      <c r="F163" s="6" t="n"/>
    </row>
    <row r="164">
      <c r="A164" s="23" t="n"/>
      <c r="D164" s="5" t="n"/>
      <c r="E164" s="21" t="n"/>
      <c r="F164" s="6" t="n"/>
    </row>
    <row r="165">
      <c r="A165" s="23" t="n"/>
      <c r="D165" s="5" t="n"/>
      <c r="E165" s="21" t="n"/>
      <c r="F165" s="6" t="n"/>
    </row>
    <row r="166">
      <c r="A166" s="23" t="n"/>
      <c r="D166" s="5" t="n"/>
      <c r="E166" s="21" t="n"/>
      <c r="F166" s="6" t="n"/>
    </row>
    <row r="167">
      <c r="A167" s="23" t="n"/>
      <c r="D167" s="5" t="n"/>
      <c r="E167" s="21" t="n"/>
      <c r="F167" s="6" t="n"/>
    </row>
    <row r="168">
      <c r="A168" s="23" t="n"/>
      <c r="D168" s="5" t="n"/>
      <c r="E168" s="21" t="n"/>
      <c r="F168" s="6" t="n"/>
    </row>
    <row r="169">
      <c r="A169" s="23" t="n"/>
      <c r="D169" s="5" t="n"/>
      <c r="E169" s="21" t="n"/>
      <c r="F169" s="6" t="n"/>
    </row>
    <row r="170">
      <c r="A170" s="23" t="n"/>
      <c r="D170" s="5" t="n"/>
      <c r="E170" s="21" t="n"/>
      <c r="F170" s="6" t="n"/>
    </row>
    <row r="171">
      <c r="A171" s="23" t="n"/>
      <c r="D171" s="5" t="n"/>
      <c r="E171" s="21" t="n"/>
      <c r="F171" s="6" t="n"/>
    </row>
    <row r="172">
      <c r="A172" s="23" t="n"/>
      <c r="D172" s="5" t="n"/>
      <c r="E172" s="21" t="n"/>
      <c r="F172" s="6" t="n"/>
    </row>
    <row r="173">
      <c r="A173" s="23" t="n"/>
      <c r="D173" s="5" t="n"/>
      <c r="E173" s="21" t="n"/>
      <c r="F173" s="6" t="n"/>
    </row>
    <row r="174">
      <c r="A174" s="23" t="n"/>
      <c r="D174" s="5" t="n"/>
      <c r="E174" s="21" t="n"/>
      <c r="F174" s="6" t="n"/>
    </row>
    <row r="175">
      <c r="A175" s="23" t="n"/>
      <c r="D175" s="5" t="n"/>
      <c r="E175" s="21" t="n"/>
      <c r="F175" s="6" t="n"/>
    </row>
    <row r="176">
      <c r="A176" s="23" t="n"/>
      <c r="D176" s="5" t="n"/>
      <c r="E176" s="21" t="n"/>
      <c r="F176" s="6" t="n"/>
    </row>
    <row r="177">
      <c r="A177" s="23" t="n"/>
      <c r="D177" s="5" t="n"/>
      <c r="E177" s="21" t="n"/>
      <c r="F177" s="6" t="n"/>
    </row>
    <row r="178">
      <c r="A178" s="23" t="n"/>
      <c r="D178" s="5" t="n"/>
      <c r="E178" s="21" t="n"/>
      <c r="F178" s="6" t="n"/>
    </row>
    <row r="179">
      <c r="A179" s="23" t="n"/>
      <c r="D179" s="5" t="n"/>
      <c r="E179" s="21" t="n"/>
      <c r="F179" s="6" t="n"/>
    </row>
    <row r="180">
      <c r="A180" s="23" t="n"/>
      <c r="D180" s="5" t="n"/>
      <c r="E180" s="21" t="n"/>
      <c r="F180" s="6" t="n"/>
    </row>
    <row r="181">
      <c r="A181" s="23" t="n"/>
      <c r="D181" s="5" t="n"/>
      <c r="E181" s="21" t="n"/>
      <c r="F181" s="6" t="n"/>
    </row>
    <row r="182">
      <c r="A182" s="23" t="n"/>
      <c r="D182" s="5" t="n"/>
      <c r="E182" s="21" t="n"/>
      <c r="F182" s="6" t="n"/>
    </row>
    <row r="183">
      <c r="A183" s="23" t="n"/>
      <c r="D183" s="5" t="n"/>
      <c r="E183" s="21" t="n"/>
      <c r="F183" s="6" t="n"/>
    </row>
    <row r="184">
      <c r="A184" s="23" t="n"/>
      <c r="D184" s="5" t="n"/>
      <c r="E184" s="21" t="n"/>
      <c r="F184" s="6" t="n"/>
    </row>
    <row r="185">
      <c r="A185" s="23" t="n"/>
      <c r="D185" s="5" t="n"/>
      <c r="E185" s="21" t="n"/>
      <c r="F185" s="6" t="n"/>
    </row>
    <row r="186">
      <c r="A186" s="23" t="n"/>
      <c r="D186" s="5" t="n"/>
      <c r="E186" s="21" t="n"/>
      <c r="F186" s="6" t="n"/>
    </row>
    <row r="187">
      <c r="A187" s="23" t="n"/>
      <c r="D187" s="5" t="n"/>
      <c r="E187" s="21" t="n"/>
      <c r="F187" s="6" t="n"/>
    </row>
    <row r="188">
      <c r="A188" s="23" t="n"/>
      <c r="D188" s="5" t="n"/>
      <c r="E188" s="21" t="n"/>
      <c r="F188" s="6" t="n"/>
    </row>
    <row r="189">
      <c r="A189" s="23" t="n"/>
      <c r="D189" s="5" t="n"/>
      <c r="E189" s="21" t="n"/>
      <c r="F189" s="6" t="n"/>
    </row>
    <row r="190">
      <c r="A190" s="23" t="n"/>
      <c r="D190" s="5" t="n"/>
      <c r="E190" s="21" t="n"/>
      <c r="F190" s="6" t="n"/>
    </row>
    <row r="191">
      <c r="A191" s="23" t="n"/>
      <c r="D191" s="5" t="n"/>
      <c r="E191" s="21" t="n"/>
      <c r="F191" s="6" t="n"/>
    </row>
    <row r="192">
      <c r="A192" s="23" t="n"/>
      <c r="D192" s="5" t="n"/>
      <c r="E192" s="21" t="n"/>
      <c r="F192" s="6" t="n"/>
    </row>
    <row r="193">
      <c r="A193" s="23" t="n"/>
      <c r="D193" s="5" t="n"/>
      <c r="E193" s="21" t="n"/>
      <c r="F193" s="6" t="n"/>
    </row>
    <row r="194">
      <c r="A194" s="23" t="n"/>
      <c r="D194" s="5" t="n"/>
      <c r="E194" s="21" t="n"/>
      <c r="F194" s="6" t="n"/>
    </row>
    <row r="195">
      <c r="A195" s="23" t="n"/>
      <c r="D195" s="5" t="n"/>
      <c r="E195" s="21" t="n"/>
      <c r="F195" s="6" t="n"/>
    </row>
    <row r="196">
      <c r="A196" s="23" t="n"/>
      <c r="D196" s="5" t="n"/>
      <c r="E196" s="21" t="n"/>
      <c r="F196" s="6" t="n"/>
    </row>
    <row r="197">
      <c r="A197" s="23" t="n"/>
      <c r="D197" s="5" t="n"/>
      <c r="E197" s="21" t="n"/>
      <c r="F197" s="6" t="n"/>
    </row>
    <row r="198">
      <c r="A198" s="23" t="n"/>
      <c r="D198" s="5" t="n"/>
      <c r="E198" s="21" t="n"/>
      <c r="F198" s="6" t="n"/>
    </row>
    <row r="199">
      <c r="A199" s="23" t="n"/>
      <c r="D199" s="5" t="n"/>
      <c r="E199" s="21" t="n"/>
      <c r="F199" s="6" t="n"/>
    </row>
    <row r="200">
      <c r="A200" s="23" t="n"/>
      <c r="D200" s="5" t="n"/>
      <c r="E200" s="21" t="n"/>
      <c r="F200" s="6" t="n"/>
    </row>
    <row r="201">
      <c r="A201" s="23" t="n"/>
      <c r="D201" s="5" t="n"/>
      <c r="E201" s="21" t="n"/>
      <c r="F201" s="6" t="n"/>
    </row>
    <row r="202">
      <c r="A202" s="23" t="n"/>
      <c r="D202" s="5" t="n"/>
      <c r="E202" s="21" t="n"/>
      <c r="F202" s="6" t="n"/>
    </row>
    <row r="203">
      <c r="A203" s="23" t="n"/>
      <c r="D203" s="5" t="n"/>
      <c r="E203" s="21" t="n"/>
      <c r="F203" s="6" t="n"/>
    </row>
    <row r="204">
      <c r="A204" s="23" t="n"/>
      <c r="D204" s="5" t="n"/>
      <c r="E204" s="21" t="n"/>
      <c r="F204" s="6" t="n"/>
    </row>
    <row r="205">
      <c r="A205" s="23" t="n"/>
      <c r="D205" s="5" t="n"/>
      <c r="E205" s="21" t="n"/>
      <c r="F205" s="6" t="n"/>
    </row>
    <row r="206">
      <c r="A206" s="23" t="n"/>
      <c r="D206" s="5" t="n"/>
      <c r="E206" s="21" t="n"/>
      <c r="F206" s="6" t="n"/>
    </row>
    <row r="207">
      <c r="A207" s="23" t="n"/>
      <c r="D207" s="5" t="n"/>
      <c r="E207" s="21" t="n"/>
      <c r="F207" s="6" t="n"/>
    </row>
    <row r="208">
      <c r="A208" s="23" t="n"/>
      <c r="D208" s="5" t="n"/>
      <c r="E208" s="21" t="n"/>
      <c r="F208" s="6" t="n"/>
    </row>
    <row r="209">
      <c r="A209" s="23" t="n"/>
      <c r="D209" s="5" t="n"/>
      <c r="E209" s="21" t="n"/>
      <c r="F209" s="6" t="n"/>
    </row>
    <row r="210">
      <c r="A210" s="23" t="n"/>
      <c r="D210" s="5" t="n"/>
      <c r="E210" s="21" t="n"/>
      <c r="F210" s="6" t="n"/>
    </row>
    <row r="211">
      <c r="A211" s="23" t="n"/>
      <c r="D211" s="5" t="n"/>
      <c r="E211" s="21" t="n"/>
      <c r="F211" s="6" t="n"/>
    </row>
    <row r="212">
      <c r="A212" s="23" t="n"/>
      <c r="D212" s="5" t="n"/>
      <c r="E212" s="21" t="n"/>
      <c r="F212" s="6" t="n"/>
    </row>
    <row r="213">
      <c r="A213" s="23" t="n"/>
      <c r="D213" s="5" t="n"/>
      <c r="E213" s="21" t="n"/>
      <c r="F213" s="6" t="n"/>
    </row>
    <row r="214">
      <c r="A214" s="23" t="n"/>
      <c r="D214" s="5" t="n"/>
      <c r="E214" s="21" t="n"/>
      <c r="F214" s="6" t="n"/>
    </row>
    <row r="215">
      <c r="A215" s="23" t="n"/>
      <c r="D215" s="5" t="n"/>
      <c r="E215" s="21" t="n"/>
      <c r="F215" s="6" t="n"/>
    </row>
    <row r="216">
      <c r="A216" s="23" t="n"/>
      <c r="D216" s="5" t="n"/>
      <c r="E216" s="21" t="n"/>
      <c r="F216" s="6" t="n"/>
    </row>
    <row r="217">
      <c r="A217" s="23" t="n"/>
      <c r="D217" s="5" t="n"/>
      <c r="E217" s="21" t="n"/>
      <c r="F217" s="6" t="n"/>
    </row>
    <row r="218">
      <c r="A218" s="23" t="n"/>
      <c r="D218" s="5" t="n"/>
      <c r="E218" s="21" t="n"/>
      <c r="F218" s="6" t="n"/>
    </row>
    <row r="219">
      <c r="A219" s="23" t="n"/>
      <c r="D219" s="5" t="n"/>
      <c r="E219" s="21" t="n"/>
      <c r="F219" s="6" t="n"/>
    </row>
    <row r="220">
      <c r="A220" s="23" t="n"/>
      <c r="D220" s="5" t="n"/>
      <c r="E220" s="21" t="n"/>
      <c r="F220" s="6" t="n"/>
    </row>
    <row r="221">
      <c r="A221" s="23" t="n"/>
      <c r="D221" s="5" t="n"/>
      <c r="E221" s="21" t="n"/>
      <c r="F221" s="6" t="n"/>
    </row>
    <row r="222">
      <c r="A222" s="23" t="n"/>
      <c r="D222" s="5" t="n"/>
      <c r="E222" s="21" t="n"/>
      <c r="F222" s="6" t="n"/>
    </row>
    <row r="223">
      <c r="A223" s="23" t="n"/>
      <c r="D223" s="5" t="n"/>
      <c r="E223" s="21" t="n"/>
      <c r="F223" s="6" t="n"/>
    </row>
    <row r="224">
      <c r="A224" s="23" t="n"/>
      <c r="D224" s="5" t="n"/>
      <c r="E224" s="21" t="n"/>
      <c r="F224" s="6" t="n"/>
    </row>
    <row r="225">
      <c r="A225" s="23" t="n"/>
      <c r="D225" s="5" t="n"/>
      <c r="E225" s="21" t="n"/>
      <c r="F225" s="6" t="n"/>
    </row>
    <row r="226">
      <c r="A226" s="23" t="n"/>
      <c r="D226" s="5" t="n"/>
      <c r="E226" s="21" t="n"/>
      <c r="F226" s="6" t="n"/>
    </row>
    <row r="227">
      <c r="A227" s="23" t="n"/>
      <c r="D227" s="5" t="n"/>
      <c r="E227" s="21" t="n"/>
      <c r="F227" s="6" t="n"/>
    </row>
    <row r="228">
      <c r="A228" s="23" t="n"/>
      <c r="D228" s="5" t="n"/>
      <c r="E228" s="21" t="n"/>
      <c r="F228" s="6" t="n"/>
    </row>
    <row r="229">
      <c r="A229" s="23" t="n"/>
      <c r="D229" s="5" t="n"/>
      <c r="E229" s="21" t="n"/>
      <c r="F229" s="6" t="n"/>
    </row>
    <row r="230">
      <c r="A230" s="23" t="n"/>
      <c r="D230" s="5" t="n"/>
      <c r="E230" s="21" t="n"/>
      <c r="F230" s="6" t="n"/>
    </row>
    <row r="231">
      <c r="A231" s="23" t="n"/>
      <c r="D231" s="5" t="n"/>
      <c r="E231" s="21" t="n"/>
      <c r="F231" s="6" t="n"/>
    </row>
    <row r="232">
      <c r="A232" s="23" t="n"/>
      <c r="D232" s="5" t="n"/>
      <c r="E232" s="21" t="n"/>
      <c r="F232" s="6" t="n"/>
    </row>
    <row r="233">
      <c r="A233" s="23" t="n"/>
      <c r="D233" s="5" t="n"/>
      <c r="E233" s="21" t="n"/>
      <c r="F233" s="6" t="n"/>
    </row>
    <row r="234">
      <c r="A234" s="23" t="n"/>
      <c r="D234" s="5" t="n"/>
      <c r="E234" s="21" t="n"/>
      <c r="F234" s="6" t="n"/>
    </row>
    <row r="235">
      <c r="A235" s="23" t="n"/>
      <c r="D235" s="5" t="n"/>
      <c r="E235" s="21" t="n"/>
      <c r="F235" s="6" t="n"/>
    </row>
    <row r="236">
      <c r="A236" s="23" t="n"/>
      <c r="D236" s="5" t="n"/>
      <c r="E236" s="21" t="n"/>
      <c r="F236" s="6" t="n"/>
    </row>
    <row r="237">
      <c r="A237" s="23" t="n"/>
      <c r="D237" s="5" t="n"/>
      <c r="E237" s="21" t="n"/>
      <c r="F237" s="6" t="n"/>
    </row>
    <row r="238">
      <c r="A238" s="23" t="n"/>
      <c r="D238" s="5" t="n"/>
      <c r="E238" s="21" t="n"/>
      <c r="F238" s="6" t="n"/>
    </row>
    <row r="239">
      <c r="A239" s="23" t="n"/>
      <c r="D239" s="5" t="n"/>
      <c r="E239" s="21" t="n"/>
      <c r="F239" s="6" t="n"/>
    </row>
    <row r="240">
      <c r="A240" s="23" t="n"/>
      <c r="D240" s="5" t="n"/>
      <c r="E240" s="21" t="n"/>
      <c r="F240" s="6" t="n"/>
    </row>
    <row r="241">
      <c r="A241" s="23" t="n"/>
      <c r="D241" s="5" t="n"/>
      <c r="E241" s="21" t="n"/>
      <c r="F241" s="6" t="n"/>
    </row>
    <row r="242">
      <c r="A242" s="23" t="n"/>
      <c r="D242" s="5" t="n"/>
      <c r="E242" s="21" t="n"/>
      <c r="F242" s="6" t="n"/>
    </row>
    <row r="243">
      <c r="A243" s="23" t="n"/>
      <c r="D243" s="5" t="n"/>
      <c r="E243" s="21" t="n"/>
      <c r="F243" s="6" t="n"/>
    </row>
    <row r="244">
      <c r="A244" s="23" t="n"/>
      <c r="D244" s="5" t="n"/>
      <c r="E244" s="21" t="n"/>
      <c r="F244" s="6" t="n"/>
    </row>
    <row r="245">
      <c r="A245" s="23" t="n"/>
      <c r="D245" s="5" t="n"/>
      <c r="E245" s="21" t="n"/>
      <c r="F245" s="6" t="n"/>
    </row>
    <row r="246">
      <c r="A246" s="23" t="n"/>
      <c r="D246" s="5" t="n"/>
      <c r="E246" s="21" t="n"/>
      <c r="F246" s="6" t="n"/>
    </row>
    <row r="247">
      <c r="A247" s="23" t="n"/>
      <c r="D247" s="5" t="n"/>
      <c r="E247" s="21" t="n"/>
      <c r="F247" s="6" t="n"/>
    </row>
    <row r="248">
      <c r="A248" s="23" t="n"/>
      <c r="D248" s="5" t="n"/>
      <c r="E248" s="21" t="n"/>
      <c r="F248" s="6" t="n"/>
    </row>
    <row r="249">
      <c r="A249" s="23" t="n"/>
      <c r="D249" s="5" t="n"/>
      <c r="E249" s="21" t="n"/>
      <c r="F249" s="6" t="n"/>
    </row>
    <row r="250">
      <c r="A250" s="23" t="n"/>
      <c r="D250" s="5" t="n"/>
      <c r="E250" s="21" t="n"/>
      <c r="F250" s="6" t="n"/>
    </row>
    <row r="251">
      <c r="A251" s="23" t="n"/>
      <c r="D251" s="5" t="n"/>
      <c r="E251" s="21" t="n"/>
      <c r="F251" s="6" t="n"/>
    </row>
    <row r="252">
      <c r="A252" s="23" t="n"/>
      <c r="D252" s="5" t="n"/>
      <c r="E252" s="21" t="n"/>
      <c r="F252" s="6" t="n"/>
    </row>
    <row r="253">
      <c r="A253" s="23" t="n"/>
      <c r="D253" s="5" t="n"/>
      <c r="E253" s="21" t="n"/>
      <c r="F253" s="6" t="n"/>
    </row>
    <row r="254">
      <c r="A254" s="23" t="n"/>
      <c r="D254" s="5" t="n"/>
      <c r="E254" s="21" t="n"/>
      <c r="F254" s="6" t="n"/>
    </row>
    <row r="255">
      <c r="A255" s="23" t="n"/>
      <c r="D255" s="5" t="n"/>
      <c r="E255" s="21" t="n"/>
      <c r="F255" s="6" t="n"/>
    </row>
    <row r="256">
      <c r="A256" s="23" t="n"/>
      <c r="D256" s="5" t="n"/>
      <c r="E256" s="21" t="n"/>
      <c r="F256" s="6" t="n"/>
    </row>
    <row r="257">
      <c r="A257" s="23" t="n"/>
      <c r="D257" s="5" t="n"/>
      <c r="E257" s="21" t="n"/>
      <c r="F257" s="6" t="n"/>
    </row>
    <row r="258">
      <c r="A258" s="23" t="n"/>
      <c r="D258" s="5" t="n"/>
      <c r="E258" s="21" t="n"/>
      <c r="F258" s="6" t="n"/>
    </row>
    <row r="259">
      <c r="A259" s="23" t="n"/>
      <c r="D259" s="5" t="n"/>
      <c r="E259" s="21" t="n"/>
      <c r="F259" s="6" t="n"/>
    </row>
    <row r="260">
      <c r="A260" s="23" t="n"/>
      <c r="D260" s="5" t="n"/>
      <c r="E260" s="21" t="n"/>
      <c r="F260" s="6" t="n"/>
    </row>
    <row r="261">
      <c r="A261" s="23" t="n"/>
      <c r="D261" s="5" t="n"/>
      <c r="E261" s="21" t="n"/>
      <c r="F261" s="6" t="n"/>
    </row>
    <row r="262">
      <c r="A262" s="23" t="n"/>
      <c r="D262" s="5" t="n"/>
      <c r="E262" s="21" t="n"/>
      <c r="F262" s="6" t="n"/>
    </row>
    <row r="263">
      <c r="A263" s="23" t="n"/>
      <c r="D263" s="5" t="n"/>
      <c r="E263" s="21" t="n"/>
      <c r="F263" s="6" t="n"/>
    </row>
    <row r="264">
      <c r="A264" s="23" t="n"/>
      <c r="D264" s="5" t="n"/>
      <c r="E264" s="21" t="n"/>
      <c r="F264" s="6" t="n"/>
    </row>
    <row r="265">
      <c r="A265" s="23" t="n"/>
      <c r="D265" s="5" t="n"/>
      <c r="E265" s="21" t="n"/>
      <c r="F265" s="6" t="n"/>
    </row>
    <row r="266">
      <c r="A266" s="23" t="n"/>
      <c r="D266" s="5" t="n"/>
      <c r="E266" s="21" t="n"/>
      <c r="F266" s="6" t="n"/>
    </row>
    <row r="267">
      <c r="A267" s="23" t="n"/>
      <c r="D267" s="5" t="n"/>
      <c r="E267" s="21" t="n"/>
      <c r="F267" s="6" t="n"/>
    </row>
    <row r="268">
      <c r="A268" s="23" t="n"/>
      <c r="D268" s="5" t="n"/>
      <c r="E268" s="21" t="n"/>
      <c r="F268" s="6" t="n"/>
    </row>
    <row r="269">
      <c r="A269" s="23" t="n"/>
      <c r="D269" s="5" t="n"/>
      <c r="E269" s="21" t="n"/>
      <c r="F269" s="6" t="n"/>
    </row>
    <row r="270">
      <c r="A270" s="23" t="n"/>
      <c r="D270" s="5" t="n"/>
      <c r="E270" s="21" t="n"/>
      <c r="F270" s="6" t="n"/>
    </row>
    <row r="271">
      <c r="A271" s="23" t="n"/>
      <c r="D271" s="5" t="n"/>
      <c r="E271" s="21" t="n"/>
      <c r="F271" s="6" t="n"/>
    </row>
    <row r="272">
      <c r="A272" s="23" t="n"/>
      <c r="D272" s="5" t="n"/>
      <c r="E272" s="21" t="n"/>
      <c r="F272" s="6" t="n"/>
    </row>
    <row r="273">
      <c r="A273" s="23" t="n"/>
      <c r="D273" s="5" t="n"/>
      <c r="E273" s="21" t="n"/>
      <c r="F273" s="6" t="n"/>
    </row>
    <row r="274">
      <c r="A274" s="23" t="n"/>
      <c r="D274" s="5" t="n"/>
      <c r="E274" s="21" t="n"/>
      <c r="F274" s="6" t="n"/>
    </row>
    <row r="275">
      <c r="A275" s="23" t="n"/>
      <c r="D275" s="5" t="n"/>
      <c r="E275" s="21" t="n"/>
      <c r="F275" s="6" t="n"/>
    </row>
    <row r="276">
      <c r="A276" s="23" t="n"/>
      <c r="D276" s="5" t="n"/>
      <c r="E276" s="21" t="n"/>
      <c r="F276" s="6" t="n"/>
    </row>
    <row r="277">
      <c r="A277" s="23" t="n"/>
      <c r="D277" s="5" t="n"/>
      <c r="E277" s="21" t="n"/>
      <c r="F277" s="6" t="n"/>
    </row>
    <row r="278">
      <c r="A278" s="23" t="n"/>
      <c r="D278" s="5" t="n"/>
      <c r="E278" s="21" t="n"/>
      <c r="F278" s="6" t="n"/>
    </row>
    <row r="279">
      <c r="A279" s="23" t="n"/>
      <c r="D279" s="5" t="n"/>
      <c r="E279" s="21" t="n"/>
      <c r="F279" s="6" t="n"/>
    </row>
    <row r="280">
      <c r="A280" s="23" t="n"/>
      <c r="D280" s="5" t="n"/>
      <c r="E280" s="21" t="n"/>
      <c r="F280" s="6" t="n"/>
    </row>
    <row r="281">
      <c r="A281" s="23" t="n"/>
      <c r="D281" s="5" t="n"/>
      <c r="E281" s="21" t="n"/>
      <c r="F281" s="6" t="n"/>
    </row>
    <row r="282">
      <c r="A282" s="23" t="n"/>
      <c r="D282" s="5" t="n"/>
      <c r="E282" s="21" t="n"/>
      <c r="F282" s="6" t="n"/>
    </row>
    <row r="283">
      <c r="A283" s="23" t="n"/>
      <c r="D283" s="5" t="n"/>
      <c r="E283" s="21" t="n"/>
      <c r="F283" s="6" t="n"/>
    </row>
    <row r="284">
      <c r="A284" s="23" t="n"/>
      <c r="D284" s="5" t="n"/>
      <c r="E284" s="21" t="n"/>
      <c r="F284" s="6" t="n"/>
    </row>
    <row r="285">
      <c r="A285" s="23" t="n"/>
      <c r="D285" s="5" t="n"/>
      <c r="E285" s="21" t="n"/>
      <c r="F285" s="6" t="n"/>
    </row>
    <row r="286">
      <c r="A286" s="23" t="n"/>
      <c r="D286" s="5" t="n"/>
      <c r="E286" s="21" t="n"/>
      <c r="F286" s="6" t="n"/>
    </row>
    <row r="287">
      <c r="A287" s="23" t="n"/>
      <c r="D287" s="5" t="n"/>
      <c r="E287" s="21" t="n"/>
      <c r="F287" s="6" t="n"/>
    </row>
    <row r="288">
      <c r="A288" s="23" t="n"/>
      <c r="D288" s="5" t="n"/>
      <c r="E288" s="21" t="n"/>
      <c r="F288" s="6" t="n"/>
    </row>
    <row r="289">
      <c r="A289" s="23" t="n"/>
      <c r="D289" s="5" t="n"/>
      <c r="E289" s="21" t="n"/>
      <c r="F289" s="6" t="n"/>
    </row>
    <row r="290">
      <c r="A290" s="23" t="n"/>
      <c r="D290" s="5" t="n"/>
      <c r="E290" s="21" t="n"/>
      <c r="F290" s="6" t="n"/>
    </row>
    <row r="291">
      <c r="A291" s="23" t="n"/>
      <c r="D291" s="5" t="n"/>
      <c r="E291" s="21" t="n"/>
      <c r="F291" s="6" t="n"/>
    </row>
    <row r="292">
      <c r="A292" s="23" t="n"/>
      <c r="D292" s="5" t="n"/>
      <c r="E292" s="21" t="n"/>
      <c r="F292" s="6" t="n"/>
    </row>
    <row r="293">
      <c r="A293" s="23" t="n"/>
      <c r="D293" s="5" t="n"/>
      <c r="E293" s="21" t="n"/>
      <c r="F293" s="6" t="n"/>
    </row>
    <row r="294">
      <c r="A294" s="23" t="n"/>
      <c r="D294" s="5" t="n"/>
      <c r="E294" s="21" t="n"/>
      <c r="F294" s="6" t="n"/>
    </row>
    <row r="295">
      <c r="A295" s="23" t="n"/>
      <c r="D295" s="5" t="n"/>
      <c r="E295" s="21" t="n"/>
      <c r="F295" s="6" t="n"/>
    </row>
    <row r="296">
      <c r="A296" s="23" t="n"/>
      <c r="D296" s="5" t="n"/>
      <c r="E296" s="21" t="n"/>
      <c r="F296" s="6" t="n"/>
    </row>
    <row r="297">
      <c r="A297" s="23" t="n"/>
      <c r="D297" s="5" t="n"/>
      <c r="E297" s="21" t="n"/>
      <c r="F297" s="6" t="n"/>
    </row>
    <row r="298">
      <c r="A298" s="23" t="n"/>
      <c r="D298" s="5" t="n"/>
      <c r="E298" s="21" t="n"/>
      <c r="F298" s="6" t="n"/>
    </row>
    <row r="299">
      <c r="A299" s="23" t="n"/>
      <c r="D299" s="5" t="n"/>
      <c r="E299" s="21" t="n"/>
      <c r="F299" s="6" t="n"/>
    </row>
    <row r="300">
      <c r="A300" s="23" t="n"/>
      <c r="D300" s="5" t="n"/>
      <c r="E300" s="21" t="n"/>
      <c r="F300" s="6" t="n"/>
    </row>
    <row r="301">
      <c r="A301" s="23" t="n"/>
      <c r="D301" s="5" t="n"/>
      <c r="E301" s="21" t="n"/>
      <c r="F301" s="6" t="n"/>
    </row>
    <row r="302">
      <c r="A302" s="23" t="n"/>
      <c r="D302" s="5" t="n"/>
      <c r="E302" s="21" t="n"/>
      <c r="F302" s="6" t="n"/>
    </row>
    <row r="303">
      <c r="A303" s="23" t="n"/>
      <c r="D303" s="5" t="n"/>
      <c r="E303" s="21" t="n"/>
      <c r="F303" s="6" t="n"/>
    </row>
    <row r="304">
      <c r="A304" s="23" t="n"/>
      <c r="D304" s="5" t="n"/>
      <c r="E304" s="21" t="n"/>
      <c r="F304" s="6" t="n"/>
    </row>
    <row r="305">
      <c r="A305" s="23" t="n"/>
      <c r="D305" s="5" t="n"/>
      <c r="E305" s="21" t="n"/>
      <c r="F305" s="6" t="n"/>
    </row>
    <row r="306">
      <c r="A306" s="23" t="n"/>
      <c r="D306" s="5" t="n"/>
      <c r="E306" s="21" t="n"/>
      <c r="F306" s="6" t="n"/>
    </row>
    <row r="307">
      <c r="A307" s="23" t="n"/>
      <c r="D307" s="5" t="n"/>
      <c r="E307" s="21" t="n"/>
      <c r="F307" s="6" t="n"/>
    </row>
    <row r="308">
      <c r="A308" s="23" t="n"/>
      <c r="D308" s="5" t="n"/>
      <c r="E308" s="21" t="n"/>
      <c r="F308" s="6" t="n"/>
    </row>
    <row r="309">
      <c r="A309" s="23" t="n"/>
      <c r="D309" s="5" t="n"/>
      <c r="E309" s="21" t="n"/>
      <c r="F309" s="6" t="n"/>
    </row>
    <row r="310">
      <c r="A310" s="23" t="n"/>
      <c r="D310" s="5" t="n"/>
      <c r="E310" s="21" t="n"/>
      <c r="F310" s="6" t="n"/>
    </row>
    <row r="311">
      <c r="A311" s="23" t="n"/>
      <c r="D311" s="5" t="n"/>
      <c r="E311" s="21" t="n"/>
      <c r="F311" s="6" t="n"/>
    </row>
    <row r="312">
      <c r="A312" s="23" t="n"/>
      <c r="D312" s="5" t="n"/>
      <c r="E312" s="21" t="n"/>
      <c r="F312" s="6" t="n"/>
    </row>
    <row r="313">
      <c r="A313" s="23" t="n"/>
      <c r="D313" s="5" t="n"/>
      <c r="E313" s="21" t="n"/>
      <c r="F313" s="6" t="n"/>
    </row>
    <row r="314">
      <c r="A314" s="23" t="n"/>
      <c r="D314" s="5" t="n"/>
      <c r="E314" s="21" t="n"/>
      <c r="F314" s="6" t="n"/>
    </row>
    <row r="315">
      <c r="A315" s="23" t="n"/>
      <c r="D315" s="5" t="n"/>
      <c r="E315" s="21" t="n"/>
      <c r="F315" s="6" t="n"/>
    </row>
    <row r="316">
      <c r="A316" s="23" t="n"/>
      <c r="D316" s="5" t="n"/>
      <c r="E316" s="21" t="n"/>
      <c r="F316" s="6" t="n"/>
    </row>
    <row r="317">
      <c r="A317" s="23" t="n"/>
      <c r="D317" s="5" t="n"/>
      <c r="E317" s="21" t="n"/>
      <c r="F317" s="6" t="n"/>
    </row>
    <row r="318">
      <c r="A318" s="23" t="n"/>
      <c r="D318" s="5" t="n"/>
      <c r="E318" s="21" t="n"/>
      <c r="F318" s="6" t="n"/>
    </row>
    <row r="319">
      <c r="A319" s="23" t="n"/>
      <c r="D319" s="5" t="n"/>
      <c r="E319" s="21" t="n"/>
      <c r="F319" s="6" t="n"/>
    </row>
    <row r="320">
      <c r="A320" s="23" t="n"/>
      <c r="D320" s="5" t="n"/>
      <c r="E320" s="21" t="n"/>
      <c r="F320" s="6" t="n"/>
    </row>
    <row r="321">
      <c r="A321" s="23" t="n"/>
      <c r="D321" s="5" t="n"/>
      <c r="E321" s="21" t="n"/>
      <c r="F321" s="6" t="n"/>
    </row>
    <row r="322">
      <c r="A322" s="23" t="n"/>
      <c r="D322" s="5" t="n"/>
      <c r="E322" s="21" t="n"/>
      <c r="F322" s="6" t="n"/>
    </row>
    <row r="323">
      <c r="A323" s="23" t="n"/>
      <c r="D323" s="5" t="n"/>
      <c r="E323" s="21" t="n"/>
      <c r="F323" s="6" t="n"/>
    </row>
    <row r="324">
      <c r="A324" s="23" t="n"/>
      <c r="D324" s="5" t="n"/>
      <c r="E324" s="21" t="n"/>
      <c r="F324" s="6" t="n"/>
    </row>
    <row r="325">
      <c r="A325" s="23" t="n"/>
      <c r="D325" s="5" t="n"/>
      <c r="E325" s="21" t="n"/>
      <c r="F325" s="6" t="n"/>
    </row>
    <row r="326">
      <c r="A326" s="23" t="n"/>
      <c r="D326" s="5" t="n"/>
      <c r="E326" s="21" t="n"/>
      <c r="F326" s="6" t="n"/>
    </row>
    <row r="327">
      <c r="A327" s="23" t="n"/>
      <c r="D327" s="5" t="n"/>
      <c r="E327" s="21" t="n"/>
      <c r="F327" s="6" t="n"/>
    </row>
    <row r="328">
      <c r="A328" s="23" t="n"/>
      <c r="D328" s="5" t="n"/>
      <c r="E328" s="21" t="n"/>
      <c r="F328" s="6" t="n"/>
    </row>
    <row r="329">
      <c r="A329" s="23" t="n"/>
      <c r="D329" s="5" t="n"/>
      <c r="E329" s="21" t="n"/>
      <c r="F329" s="6" t="n"/>
    </row>
    <row r="330">
      <c r="A330" s="23" t="n"/>
      <c r="D330" s="5" t="n"/>
      <c r="E330" s="21" t="n"/>
      <c r="F330" s="6" t="n"/>
    </row>
    <row r="331">
      <c r="A331" s="23" t="n"/>
      <c r="D331" s="5" t="n"/>
      <c r="E331" s="21" t="n"/>
      <c r="F331" s="6" t="n"/>
    </row>
    <row r="332">
      <c r="A332" s="23" t="n"/>
      <c r="D332" s="5" t="n"/>
      <c r="E332" s="21" t="n"/>
      <c r="F332" s="6" t="n"/>
    </row>
    <row r="333">
      <c r="A333" s="23" t="n"/>
      <c r="D333" s="5" t="n"/>
      <c r="E333" s="21" t="n"/>
      <c r="F333" s="6" t="n"/>
    </row>
    <row r="334">
      <c r="A334" s="23" t="n"/>
      <c r="D334" s="5" t="n"/>
      <c r="E334" s="21" t="n"/>
      <c r="F334" s="6" t="n"/>
    </row>
    <row r="335">
      <c r="A335" s="23" t="n"/>
      <c r="D335" s="5" t="n"/>
      <c r="E335" s="21" t="n"/>
      <c r="F335" s="6" t="n"/>
    </row>
    <row r="336">
      <c r="A336" s="23" t="n"/>
      <c r="D336" s="5" t="n"/>
      <c r="E336" s="21" t="n"/>
      <c r="F336" s="6" t="n"/>
    </row>
    <row r="337">
      <c r="A337" s="23" t="n"/>
      <c r="D337" s="5" t="n"/>
      <c r="E337" s="21" t="n"/>
      <c r="F337" s="6" t="n"/>
    </row>
    <row r="338">
      <c r="A338" s="23" t="n"/>
      <c r="D338" s="5" t="n"/>
      <c r="E338" s="21" t="n"/>
      <c r="F338" s="6" t="n"/>
    </row>
    <row r="339">
      <c r="A339" s="23" t="n"/>
      <c r="D339" s="5" t="n"/>
      <c r="E339" s="21" t="n"/>
      <c r="F339" s="6" t="n"/>
    </row>
    <row r="340">
      <c r="A340" s="23" t="n"/>
      <c r="D340" s="5" t="n"/>
      <c r="E340" s="21" t="n"/>
      <c r="F340" s="6" t="n"/>
    </row>
    <row r="341">
      <c r="A341" s="23" t="n"/>
      <c r="D341" s="5" t="n"/>
      <c r="E341" s="21" t="n"/>
      <c r="F341" s="6" t="n"/>
    </row>
    <row r="342">
      <c r="A342" s="23" t="n"/>
      <c r="D342" s="5" t="n"/>
      <c r="E342" s="21" t="n"/>
      <c r="F342" s="6" t="n"/>
    </row>
    <row r="343">
      <c r="A343" s="23" t="n"/>
      <c r="D343" s="5" t="n"/>
      <c r="E343" s="21" t="n"/>
      <c r="F343" s="6" t="n"/>
    </row>
    <row r="344">
      <c r="A344" s="23" t="n"/>
      <c r="D344" s="5" t="n"/>
      <c r="E344" s="21" t="n"/>
      <c r="F344" s="6" t="n"/>
    </row>
    <row r="345">
      <c r="A345" s="23" t="n"/>
      <c r="D345" s="5" t="n"/>
      <c r="E345" s="21" t="n"/>
      <c r="F345" s="6" t="n"/>
    </row>
    <row r="346">
      <c r="A346" s="23" t="n"/>
      <c r="D346" s="5" t="n"/>
      <c r="E346" s="21" t="n"/>
      <c r="F346" s="6" t="n"/>
    </row>
    <row r="347">
      <c r="A347" s="23" t="n"/>
      <c r="D347" s="5" t="n"/>
      <c r="E347" s="21" t="n"/>
      <c r="F347" s="6" t="n"/>
    </row>
    <row r="348">
      <c r="A348" s="23" t="n"/>
      <c r="D348" s="5" t="n"/>
      <c r="E348" s="21" t="n"/>
      <c r="F348" s="6" t="n"/>
    </row>
    <row r="349">
      <c r="A349" s="23" t="n"/>
      <c r="D349" s="5" t="n"/>
      <c r="E349" s="21" t="n"/>
      <c r="F349" s="6" t="n"/>
    </row>
    <row r="350">
      <c r="A350" s="23" t="n"/>
      <c r="D350" s="5" t="n"/>
      <c r="E350" s="21" t="n"/>
      <c r="F350" s="6" t="n"/>
    </row>
    <row r="351">
      <c r="A351" s="23" t="n"/>
      <c r="D351" s="5" t="n"/>
      <c r="E351" s="21" t="n"/>
      <c r="F351" s="6" t="n"/>
    </row>
    <row r="352">
      <c r="A352" s="23" t="n"/>
      <c r="D352" s="5" t="n"/>
      <c r="E352" s="21" t="n"/>
      <c r="F352" s="6" t="n"/>
    </row>
    <row r="353">
      <c r="A353" s="23" t="n"/>
      <c r="D353" s="5" t="n"/>
      <c r="E353" s="21" t="n"/>
      <c r="F353" s="6" t="n"/>
    </row>
    <row r="354">
      <c r="A354" s="23" t="n"/>
      <c r="D354" s="5" t="n"/>
      <c r="E354" s="21" t="n"/>
      <c r="F354" s="6" t="n"/>
    </row>
    <row r="355">
      <c r="A355" s="23" t="n"/>
      <c r="D355" s="5" t="n"/>
      <c r="E355" s="21" t="n"/>
      <c r="F355" s="6" t="n"/>
    </row>
    <row r="356">
      <c r="A356" s="23" t="n"/>
      <c r="D356" s="5" t="n"/>
      <c r="E356" s="21" t="n"/>
      <c r="F356" s="6" t="n"/>
    </row>
    <row r="357">
      <c r="A357" s="23" t="n"/>
      <c r="D357" s="5" t="n"/>
      <c r="E357" s="21" t="n"/>
      <c r="F357" s="6" t="n"/>
    </row>
    <row r="358">
      <c r="A358" s="23" t="n"/>
      <c r="D358" s="5" t="n"/>
      <c r="E358" s="21" t="n"/>
      <c r="F358" s="6" t="n"/>
    </row>
    <row r="359">
      <c r="A359" s="23" t="n"/>
      <c r="D359" s="5" t="n"/>
      <c r="E359" s="21" t="n"/>
      <c r="F359" s="6" t="n"/>
    </row>
    <row r="360">
      <c r="A360" s="23" t="n"/>
      <c r="D360" s="5" t="n"/>
      <c r="E360" s="21" t="n"/>
      <c r="F360" s="6" t="n"/>
    </row>
    <row r="361">
      <c r="A361" s="23" t="n"/>
      <c r="D361" s="5" t="n"/>
      <c r="E361" s="21" t="n"/>
      <c r="F361" s="6" t="n"/>
    </row>
    <row r="362">
      <c r="A362" s="23" t="n"/>
      <c r="D362" s="5" t="n"/>
      <c r="E362" s="21" t="n"/>
      <c r="F362" s="6" t="n"/>
    </row>
    <row r="363">
      <c r="A363" s="23" t="n"/>
      <c r="D363" s="5" t="n"/>
      <c r="E363" s="21" t="n"/>
      <c r="F363" s="6" t="n"/>
    </row>
    <row r="364">
      <c r="A364" s="23" t="n"/>
      <c r="D364" s="5" t="n"/>
      <c r="E364" s="21" t="n"/>
      <c r="F364" s="6" t="n"/>
    </row>
    <row r="365">
      <c r="A365" s="23" t="n"/>
      <c r="D365" s="5" t="n"/>
      <c r="E365" s="21" t="n"/>
      <c r="F365" s="6" t="n"/>
    </row>
    <row r="366">
      <c r="A366" s="23" t="n"/>
      <c r="D366" s="5" t="n"/>
      <c r="E366" s="21" t="n"/>
      <c r="F366" s="6" t="n"/>
    </row>
    <row r="367">
      <c r="A367" s="23" t="n"/>
      <c r="D367" s="5" t="n"/>
      <c r="E367" s="21" t="n"/>
      <c r="F367" s="6" t="n"/>
    </row>
    <row r="368">
      <c r="A368" s="23" t="n"/>
      <c r="D368" s="5" t="n"/>
      <c r="E368" s="21" t="n"/>
      <c r="F368" s="6" t="n"/>
    </row>
    <row r="369">
      <c r="A369" s="23" t="n"/>
      <c r="D369" s="5" t="n"/>
      <c r="E369" s="21" t="n"/>
      <c r="F369" s="6" t="n"/>
    </row>
    <row r="370">
      <c r="A370" s="23" t="n"/>
      <c r="D370" s="5" t="n"/>
      <c r="E370" s="21" t="n"/>
      <c r="F370" s="6" t="n"/>
    </row>
    <row r="371">
      <c r="A371" s="23" t="n"/>
      <c r="D371" s="5" t="n"/>
      <c r="E371" s="21" t="n"/>
      <c r="F371" s="6" t="n"/>
    </row>
    <row r="372">
      <c r="A372" s="23" t="n"/>
      <c r="D372" s="5" t="n"/>
      <c r="E372" s="21" t="n"/>
      <c r="F372" s="6" t="n"/>
    </row>
    <row r="373">
      <c r="A373" s="23" t="n"/>
      <c r="D373" s="5" t="n"/>
      <c r="E373" s="21" t="n"/>
      <c r="F373" s="6" t="n"/>
    </row>
    <row r="374">
      <c r="A374" s="23" t="n"/>
      <c r="D374" s="5" t="n"/>
      <c r="E374" s="21" t="n"/>
      <c r="F374" s="6" t="n"/>
    </row>
    <row r="375">
      <c r="A375" s="23" t="n"/>
      <c r="D375" s="5" t="n"/>
      <c r="E375" s="21" t="n"/>
      <c r="F375" s="6" t="n"/>
    </row>
    <row r="376">
      <c r="A376" s="23" t="n"/>
      <c r="D376" s="5" t="n"/>
      <c r="E376" s="21" t="n"/>
      <c r="F376" s="6" t="n"/>
    </row>
    <row r="377">
      <c r="A377" s="23" t="n"/>
      <c r="D377" s="5" t="n"/>
      <c r="E377" s="21" t="n"/>
      <c r="F377" s="6" t="n"/>
    </row>
    <row r="378">
      <c r="A378" s="23" t="n"/>
      <c r="D378" s="5" t="n"/>
      <c r="E378" s="21" t="n"/>
      <c r="F378" s="6" t="n"/>
    </row>
    <row r="379">
      <c r="A379" s="23" t="n"/>
      <c r="D379" s="5" t="n"/>
      <c r="E379" s="21" t="n"/>
      <c r="F379" s="6" t="n"/>
    </row>
    <row r="380">
      <c r="A380" s="23" t="n"/>
      <c r="D380" s="5" t="n"/>
      <c r="E380" s="21" t="n"/>
      <c r="F380" s="6" t="n"/>
    </row>
    <row r="381">
      <c r="A381" s="23" t="n"/>
      <c r="D381" s="5" t="n"/>
      <c r="E381" s="21" t="n"/>
      <c r="F381" s="6" t="n"/>
    </row>
    <row r="382">
      <c r="A382" s="23" t="n"/>
      <c r="D382" s="5" t="n"/>
      <c r="E382" s="21" t="n"/>
      <c r="F382" s="6" t="n"/>
    </row>
    <row r="383">
      <c r="A383" s="23" t="n"/>
      <c r="D383" s="5" t="n"/>
      <c r="E383" s="21" t="n"/>
      <c r="F383" s="6" t="n"/>
    </row>
    <row r="384">
      <c r="A384" s="23" t="n"/>
      <c r="D384" s="5" t="n"/>
      <c r="E384" s="21" t="n"/>
      <c r="F384" s="6" t="n"/>
    </row>
    <row r="385">
      <c r="A385" s="23" t="n"/>
      <c r="D385" s="5" t="n"/>
      <c r="E385" s="21" t="n"/>
      <c r="F385" s="6" t="n"/>
    </row>
    <row r="386">
      <c r="A386" s="23" t="n"/>
      <c r="D386" s="5" t="n"/>
      <c r="E386" s="21" t="n"/>
      <c r="F386" s="6" t="n"/>
    </row>
    <row r="387">
      <c r="A387" s="23" t="n"/>
      <c r="D387" s="5" t="n"/>
      <c r="E387" s="21" t="n"/>
      <c r="F387" s="6" t="n"/>
    </row>
    <row r="388">
      <c r="A388" s="23" t="n"/>
      <c r="D388" s="5" t="n"/>
      <c r="E388" s="21" t="n"/>
      <c r="F388" s="6" t="n"/>
    </row>
    <row r="389">
      <c r="A389" s="23" t="n"/>
      <c r="D389" s="5" t="n"/>
      <c r="E389" s="21" t="n"/>
      <c r="F389" s="6" t="n"/>
    </row>
    <row r="390">
      <c r="A390" s="23" t="n"/>
      <c r="D390" s="5" t="n"/>
      <c r="E390" s="21" t="n"/>
      <c r="F390" s="6" t="n"/>
    </row>
    <row r="391">
      <c r="A391" s="23" t="n"/>
      <c r="D391" s="5" t="n"/>
      <c r="E391" s="21" t="n"/>
      <c r="F391" s="6" t="n"/>
    </row>
    <row r="392">
      <c r="A392" s="23" t="n"/>
      <c r="D392" s="5" t="n"/>
      <c r="E392" s="21" t="n"/>
      <c r="F392" s="6" t="n"/>
    </row>
    <row r="393">
      <c r="A393" s="23" t="n"/>
      <c r="D393" s="5" t="n"/>
      <c r="E393" s="21" t="n"/>
      <c r="F393" s="6" t="n"/>
    </row>
    <row r="394">
      <c r="A394" s="23" t="n"/>
      <c r="D394" s="5" t="n"/>
      <c r="E394" s="21" t="n"/>
      <c r="F394" s="6" t="n"/>
    </row>
    <row r="395">
      <c r="A395" s="23" t="n"/>
      <c r="D395" s="5" t="n"/>
      <c r="E395" s="21" t="n"/>
      <c r="F395" s="6" t="n"/>
    </row>
    <row r="396">
      <c r="A396" s="23" t="n"/>
      <c r="D396" s="5" t="n"/>
      <c r="E396" s="21" t="n"/>
      <c r="F396" s="6" t="n"/>
    </row>
    <row r="397">
      <c r="A397" s="23" t="n"/>
      <c r="D397" s="5" t="n"/>
      <c r="E397" s="21" t="n"/>
      <c r="F397" s="6" t="n"/>
    </row>
    <row r="398">
      <c r="A398" s="23" t="n"/>
      <c r="D398" s="5" t="n"/>
      <c r="E398" s="21" t="n"/>
      <c r="F398" s="6" t="n"/>
    </row>
    <row r="399">
      <c r="A399" s="23" t="n"/>
      <c r="D399" s="5" t="n"/>
      <c r="E399" s="21" t="n"/>
      <c r="F399" s="6" t="n"/>
    </row>
    <row r="400">
      <c r="A400" s="23" t="n"/>
      <c r="D400" s="5" t="n"/>
      <c r="E400" s="21" t="n"/>
      <c r="F400" s="6" t="n"/>
    </row>
    <row r="401">
      <c r="A401" s="23" t="n"/>
      <c r="D401" s="5" t="n"/>
      <c r="E401" s="21" t="n"/>
      <c r="F401" s="6" t="n"/>
    </row>
    <row r="402">
      <c r="A402" s="23" t="n"/>
      <c r="D402" s="5" t="n"/>
      <c r="E402" s="21" t="n"/>
      <c r="F402" s="6" t="n"/>
    </row>
    <row r="403">
      <c r="A403" s="23" t="n"/>
      <c r="D403" s="5" t="n"/>
      <c r="E403" s="21" t="n"/>
      <c r="F403" s="6" t="n"/>
    </row>
    <row r="404">
      <c r="A404" s="23" t="n"/>
      <c r="D404" s="5" t="n"/>
      <c r="E404" s="21" t="n"/>
      <c r="F404" s="6" t="n"/>
    </row>
    <row r="405">
      <c r="A405" s="23" t="n"/>
      <c r="D405" s="5" t="n"/>
      <c r="E405" s="21" t="n"/>
      <c r="F405" s="6" t="n"/>
    </row>
    <row r="406">
      <c r="A406" s="23" t="n"/>
      <c r="D406" s="5" t="n"/>
      <c r="E406" s="21" t="n"/>
      <c r="F406" s="6" t="n"/>
    </row>
    <row r="407">
      <c r="A407" s="23" t="n"/>
      <c r="D407" s="5" t="n"/>
      <c r="E407" s="21" t="n"/>
      <c r="F407" s="6" t="n"/>
    </row>
    <row r="408">
      <c r="A408" s="23" t="n"/>
      <c r="D408" s="5" t="n"/>
      <c r="E408" s="21" t="n"/>
      <c r="F408" s="6" t="n"/>
    </row>
    <row r="409">
      <c r="A409" s="23" t="n"/>
      <c r="D409" s="5" t="n"/>
      <c r="E409" s="21" t="n"/>
      <c r="F409" s="6" t="n"/>
    </row>
    <row r="410">
      <c r="A410" s="23" t="n"/>
      <c r="D410" s="5" t="n"/>
      <c r="E410" s="21" t="n"/>
      <c r="F410" s="6" t="n"/>
    </row>
    <row r="411">
      <c r="A411" s="23" t="n"/>
      <c r="D411" s="5" t="n"/>
      <c r="E411" s="21" t="n"/>
      <c r="F411" s="6" t="n"/>
    </row>
    <row r="412">
      <c r="A412" s="23" t="n"/>
      <c r="D412" s="5" t="n"/>
      <c r="E412" s="21" t="n"/>
      <c r="F412" s="6" t="n"/>
    </row>
    <row r="413">
      <c r="A413" s="23" t="n"/>
      <c r="D413" s="5" t="n"/>
      <c r="E413" s="21" t="n"/>
      <c r="F413" s="6" t="n"/>
    </row>
    <row r="414">
      <c r="A414" s="23" t="n"/>
      <c r="D414" s="5" t="n"/>
      <c r="E414" s="21" t="n"/>
      <c r="F414" s="6" t="n"/>
    </row>
    <row r="415">
      <c r="A415" s="23" t="n"/>
      <c r="D415" s="5" t="n"/>
      <c r="E415" s="21" t="n"/>
      <c r="F415" s="6" t="n"/>
    </row>
    <row r="416">
      <c r="A416" s="23" t="n"/>
      <c r="D416" s="5" t="n"/>
      <c r="E416" s="21" t="n"/>
      <c r="F416" s="6" t="n"/>
    </row>
    <row r="417">
      <c r="A417" s="23" t="n"/>
      <c r="D417" s="5" t="n"/>
      <c r="E417" s="21" t="n"/>
      <c r="F417" s="6" t="n"/>
    </row>
    <row r="418">
      <c r="A418" s="23" t="n"/>
      <c r="D418" s="5" t="n"/>
      <c r="E418" s="21" t="n"/>
      <c r="F418" s="6" t="n"/>
    </row>
    <row r="419">
      <c r="A419" s="23" t="n"/>
      <c r="D419" s="5" t="n"/>
      <c r="E419" s="21" t="n"/>
      <c r="F419" s="6" t="n"/>
    </row>
    <row r="420">
      <c r="A420" s="23" t="n"/>
      <c r="D420" s="5" t="n"/>
      <c r="E420" s="21" t="n"/>
      <c r="F420" s="6" t="n"/>
    </row>
    <row r="421">
      <c r="A421" s="23" t="n"/>
      <c r="D421" s="5" t="n"/>
      <c r="E421" s="21" t="n"/>
      <c r="F421" s="6" t="n"/>
    </row>
    <row r="422">
      <c r="A422" s="23" t="n"/>
      <c r="D422" s="5" t="n"/>
      <c r="E422" s="21" t="n"/>
      <c r="F422" s="6" t="n"/>
    </row>
    <row r="423">
      <c r="A423" s="23" t="n"/>
      <c r="D423" s="5" t="n"/>
      <c r="E423" s="21" t="n"/>
      <c r="F423" s="6" t="n"/>
    </row>
    <row r="424">
      <c r="A424" s="23" t="n"/>
      <c r="D424" s="5" t="n"/>
      <c r="E424" s="21" t="n"/>
      <c r="F424" s="6" t="n"/>
    </row>
    <row r="425">
      <c r="A425" s="23" t="n"/>
      <c r="D425" s="5" t="n"/>
      <c r="E425" s="21" t="n"/>
      <c r="F425" s="6" t="n"/>
    </row>
    <row r="426">
      <c r="A426" s="23" t="n"/>
      <c r="D426" s="5" t="n"/>
      <c r="E426" s="21" t="n"/>
      <c r="F426" s="6" t="n"/>
    </row>
    <row r="427">
      <c r="A427" s="23" t="n"/>
      <c r="D427" s="5" t="n"/>
      <c r="E427" s="21" t="n"/>
      <c r="F427" s="6" t="n"/>
    </row>
    <row r="428">
      <c r="A428" s="23" t="n"/>
      <c r="D428" s="5" t="n"/>
      <c r="E428" s="21" t="n"/>
      <c r="F428" s="6" t="n"/>
    </row>
    <row r="429">
      <c r="A429" s="23" t="n"/>
      <c r="D429" s="5" t="n"/>
      <c r="E429" s="21" t="n"/>
      <c r="F429" s="6" t="n"/>
    </row>
    <row r="430">
      <c r="A430" s="23" t="n"/>
      <c r="D430" s="5" t="n"/>
      <c r="E430" s="21" t="n"/>
      <c r="F430" s="6" t="n"/>
    </row>
    <row r="431">
      <c r="A431" s="23" t="n"/>
      <c r="D431" s="5" t="n"/>
      <c r="E431" s="21" t="n"/>
      <c r="F431" s="6" t="n"/>
    </row>
    <row r="432">
      <c r="A432" s="23" t="n"/>
      <c r="D432" s="5" t="n"/>
      <c r="E432" s="21" t="n"/>
      <c r="F432" s="6" t="n"/>
    </row>
    <row r="433">
      <c r="A433" s="23" t="n"/>
      <c r="D433" s="5" t="n"/>
      <c r="E433" s="21" t="n"/>
      <c r="F433" s="6" t="n"/>
    </row>
    <row r="434">
      <c r="A434" s="23" t="n"/>
      <c r="D434" s="5" t="n"/>
      <c r="E434" s="21" t="n"/>
      <c r="F434" s="6" t="n"/>
    </row>
    <row r="435">
      <c r="A435" s="23" t="n"/>
      <c r="D435" s="5" t="n"/>
      <c r="E435" s="21" t="n"/>
      <c r="F435" s="6" t="n"/>
    </row>
    <row r="436">
      <c r="A436" s="23" t="n"/>
      <c r="D436" s="5" t="n"/>
      <c r="E436" s="21" t="n"/>
      <c r="F436" s="6" t="n"/>
    </row>
    <row r="437">
      <c r="A437" s="23" t="n"/>
      <c r="D437" s="5" t="n"/>
      <c r="E437" s="21" t="n"/>
      <c r="F437" s="6" t="n"/>
    </row>
    <row r="438">
      <c r="A438" s="23" t="n"/>
      <c r="D438" s="5" t="n"/>
      <c r="E438" s="21" t="n"/>
      <c r="F438" s="6" t="n"/>
    </row>
    <row r="439">
      <c r="A439" s="23" t="n"/>
      <c r="D439" s="5" t="n"/>
      <c r="E439" s="21" t="n"/>
      <c r="F439" s="6" t="n"/>
    </row>
    <row r="440">
      <c r="A440" s="23" t="n"/>
      <c r="D440" s="5" t="n"/>
      <c r="E440" s="21" t="n"/>
      <c r="F440" s="6" t="n"/>
    </row>
    <row r="441">
      <c r="A441" s="23" t="n"/>
      <c r="D441" s="5" t="n"/>
      <c r="E441" s="21" t="n"/>
      <c r="F441" s="6" t="n"/>
    </row>
    <row r="442">
      <c r="A442" s="23" t="n"/>
      <c r="D442" s="5" t="n"/>
      <c r="E442" s="21" t="n"/>
      <c r="F442" s="6" t="n"/>
    </row>
    <row r="443">
      <c r="A443" s="23" t="n"/>
      <c r="D443" s="5" t="n"/>
      <c r="E443" s="21" t="n"/>
      <c r="F443" s="6" t="n"/>
    </row>
    <row r="444">
      <c r="A444" s="23" t="n"/>
      <c r="D444" s="5" t="n"/>
      <c r="E444" s="21" t="n"/>
      <c r="F444" s="6" t="n"/>
    </row>
    <row r="445">
      <c r="A445" s="23" t="n"/>
      <c r="D445" s="5" t="n"/>
      <c r="E445" s="21" t="n"/>
      <c r="F445" s="6" t="n"/>
    </row>
    <row r="446">
      <c r="A446" s="23" t="n"/>
      <c r="D446" s="5" t="n"/>
      <c r="E446" s="21" t="n"/>
      <c r="F446" s="6" t="n"/>
    </row>
    <row r="447">
      <c r="A447" s="23" t="n"/>
      <c r="D447" s="5" t="n"/>
      <c r="E447" s="21" t="n"/>
      <c r="F447" s="6" t="n"/>
    </row>
    <row r="448">
      <c r="A448" s="23" t="n"/>
      <c r="D448" s="5" t="n"/>
      <c r="E448" s="21" t="n"/>
      <c r="F448" s="6" t="n"/>
    </row>
    <row r="449">
      <c r="A449" s="23" t="n"/>
      <c r="D449" s="5" t="n"/>
      <c r="E449" s="21" t="n"/>
      <c r="F449" s="6" t="n"/>
    </row>
    <row r="450">
      <c r="A450" s="23" t="n"/>
      <c r="D450" s="5" t="n"/>
      <c r="E450" s="21" t="n"/>
      <c r="F450" s="6" t="n"/>
    </row>
    <row r="451">
      <c r="A451" s="23" t="n"/>
      <c r="D451" s="5" t="n"/>
      <c r="E451" s="21" t="n"/>
      <c r="F451" s="6" t="n"/>
    </row>
    <row r="452">
      <c r="A452" s="23" t="n"/>
      <c r="D452" s="5" t="n"/>
      <c r="E452" s="21" t="n"/>
      <c r="F452" s="6" t="n"/>
    </row>
    <row r="453">
      <c r="A453" s="23" t="n"/>
      <c r="D453" s="5" t="n"/>
      <c r="E453" s="21" t="n"/>
      <c r="F453" s="6" t="n"/>
    </row>
    <row r="454">
      <c r="A454" s="23" t="n"/>
      <c r="D454" s="5" t="n"/>
      <c r="E454" s="21" t="n"/>
      <c r="F454" s="6" t="n"/>
    </row>
    <row r="455">
      <c r="A455" s="23" t="n"/>
      <c r="D455" s="5" t="n"/>
      <c r="E455" s="21" t="n"/>
      <c r="F455" s="6" t="n"/>
    </row>
    <row r="456">
      <c r="A456" s="23" t="n"/>
      <c r="D456" s="5" t="n"/>
      <c r="E456" s="21" t="n"/>
      <c r="F456" s="6" t="n"/>
    </row>
    <row r="457">
      <c r="A457" s="23" t="n"/>
      <c r="D457" s="5" t="n"/>
      <c r="E457" s="21" t="n"/>
      <c r="F457" s="6" t="n"/>
    </row>
    <row r="458">
      <c r="A458" s="23" t="n"/>
      <c r="D458" s="5" t="n"/>
      <c r="E458" s="21" t="n"/>
      <c r="F458" s="6" t="n"/>
    </row>
    <row r="459">
      <c r="A459" s="23" t="n"/>
      <c r="D459" s="5" t="n"/>
      <c r="E459" s="21" t="n"/>
      <c r="F459" s="6" t="n"/>
    </row>
    <row r="460">
      <c r="A460" s="23" t="n"/>
      <c r="D460" s="5" t="n"/>
      <c r="E460" s="21" t="n"/>
      <c r="F460" s="6" t="n"/>
    </row>
    <row r="461">
      <c r="A461" s="23" t="n"/>
      <c r="D461" s="5" t="n"/>
      <c r="E461" s="21" t="n"/>
      <c r="F461" s="6" t="n"/>
    </row>
    <row r="462">
      <c r="A462" s="23" t="n"/>
      <c r="D462" s="5" t="n"/>
      <c r="E462" s="21" t="n"/>
      <c r="F462" s="6" t="n"/>
    </row>
    <row r="463">
      <c r="A463" s="23" t="n"/>
      <c r="D463" s="5" t="n"/>
      <c r="E463" s="21" t="n"/>
      <c r="F463" s="6" t="n"/>
    </row>
    <row r="464">
      <c r="A464" s="23" t="n"/>
      <c r="D464" s="5" t="n"/>
      <c r="E464" s="21" t="n"/>
      <c r="F464" s="6" t="n"/>
    </row>
    <row r="465">
      <c r="A465" s="23" t="n"/>
      <c r="D465" s="5" t="n"/>
      <c r="E465" s="21" t="n"/>
      <c r="F465" s="6" t="n"/>
    </row>
    <row r="466">
      <c r="A466" s="23" t="n"/>
      <c r="D466" s="5" t="n"/>
      <c r="E466" s="21" t="n"/>
      <c r="F466" s="6" t="n"/>
    </row>
    <row r="467">
      <c r="A467" s="23" t="n"/>
      <c r="D467" s="5" t="n"/>
      <c r="E467" s="21" t="n"/>
      <c r="F467" s="6" t="n"/>
    </row>
    <row r="468">
      <c r="A468" s="23" t="n"/>
      <c r="D468" s="5" t="n"/>
      <c r="E468" s="21" t="n"/>
      <c r="F468" s="6" t="n"/>
    </row>
    <row r="469">
      <c r="A469" s="23" t="n"/>
      <c r="D469" s="5" t="n"/>
      <c r="E469" s="21" t="n"/>
      <c r="F469" s="6" t="n"/>
    </row>
    <row r="470">
      <c r="A470" s="23" t="n"/>
      <c r="D470" s="5" t="n"/>
      <c r="E470" s="21" t="n"/>
      <c r="F470" s="6" t="n"/>
    </row>
    <row r="471">
      <c r="A471" s="23" t="n"/>
      <c r="D471" s="5" t="n"/>
      <c r="E471" s="21" t="n"/>
      <c r="F471" s="6" t="n"/>
    </row>
    <row r="472">
      <c r="A472" s="23" t="n"/>
      <c r="D472" s="5" t="n"/>
      <c r="E472" s="21" t="n"/>
      <c r="F472" s="6" t="n"/>
    </row>
    <row r="473">
      <c r="A473" s="23" t="n"/>
      <c r="D473" s="5" t="n"/>
      <c r="E473" s="21" t="n"/>
      <c r="F473" s="6" t="n"/>
    </row>
    <row r="474">
      <c r="A474" s="23" t="n"/>
      <c r="D474" s="5" t="n"/>
      <c r="E474" s="21" t="n"/>
      <c r="F474" s="6" t="n"/>
    </row>
    <row r="475">
      <c r="A475" s="23" t="n"/>
      <c r="D475" s="5" t="n"/>
      <c r="E475" s="21" t="n"/>
      <c r="F475" s="6" t="n"/>
    </row>
    <row r="476">
      <c r="A476" s="23" t="n"/>
      <c r="D476" s="5" t="n"/>
      <c r="E476" s="21" t="n"/>
      <c r="F476" s="6" t="n"/>
    </row>
    <row r="477">
      <c r="A477" s="23" t="n"/>
      <c r="D477" s="5" t="n"/>
      <c r="E477" s="21" t="n"/>
      <c r="F477" s="6" t="n"/>
    </row>
    <row r="478">
      <c r="A478" s="23" t="n"/>
      <c r="D478" s="5" t="n"/>
      <c r="E478" s="21" t="n"/>
      <c r="F478" s="6" t="n"/>
    </row>
    <row r="479">
      <c r="A479" s="23" t="n"/>
      <c r="D479" s="5" t="n"/>
      <c r="E479" s="21" t="n"/>
      <c r="F479" s="6" t="n"/>
    </row>
    <row r="480">
      <c r="A480" s="23" t="n"/>
      <c r="D480" s="5" t="n"/>
      <c r="E480" s="21" t="n"/>
      <c r="F480" s="6" t="n"/>
    </row>
    <row r="481">
      <c r="A481" s="23" t="n"/>
      <c r="D481" s="5" t="n"/>
      <c r="E481" s="21" t="n"/>
      <c r="F481" s="6" t="n"/>
    </row>
    <row r="482">
      <c r="A482" s="23" t="n"/>
      <c r="D482" s="5" t="n"/>
      <c r="E482" s="21" t="n"/>
      <c r="F482" s="6" t="n"/>
    </row>
    <row r="483">
      <c r="A483" s="23" t="n"/>
      <c r="D483" s="5" t="n"/>
      <c r="E483" s="21" t="n"/>
      <c r="F483" s="6" t="n"/>
    </row>
    <row r="484">
      <c r="A484" s="23" t="n"/>
      <c r="D484" s="5" t="n"/>
      <c r="E484" s="21" t="n"/>
      <c r="F484" s="6" t="n"/>
    </row>
    <row r="485">
      <c r="A485" s="23" t="n"/>
      <c r="D485" s="5" t="n"/>
      <c r="E485" s="21" t="n"/>
      <c r="F485" s="6" t="n"/>
    </row>
    <row r="486">
      <c r="A486" s="23" t="n"/>
      <c r="D486" s="5" t="n"/>
      <c r="E486" s="21" t="n"/>
      <c r="F486" s="6" t="n"/>
    </row>
    <row r="487">
      <c r="A487" s="23" t="n"/>
      <c r="D487" s="5" t="n"/>
      <c r="E487" s="21" t="n"/>
      <c r="F487" s="6" t="n"/>
    </row>
    <row r="488">
      <c r="A488" s="23" t="n"/>
      <c r="D488" s="5" t="n"/>
      <c r="E488" s="21" t="n"/>
      <c r="F488" s="6" t="n"/>
    </row>
    <row r="489">
      <c r="A489" s="23" t="n"/>
      <c r="D489" s="5" t="n"/>
      <c r="E489" s="21" t="n"/>
      <c r="F489" s="6" t="n"/>
    </row>
    <row r="490">
      <c r="A490" s="23" t="n"/>
      <c r="D490" s="5" t="n"/>
      <c r="E490" s="21" t="n"/>
      <c r="F490" s="6" t="n"/>
    </row>
    <row r="491">
      <c r="A491" s="23" t="n"/>
      <c r="D491" s="5" t="n"/>
      <c r="E491" s="21" t="n"/>
      <c r="F491" s="6" t="n"/>
    </row>
    <row r="492">
      <c r="A492" s="23" t="n"/>
      <c r="D492" s="5" t="n"/>
      <c r="E492" s="21" t="n"/>
      <c r="F492" s="6" t="n"/>
    </row>
    <row r="493">
      <c r="A493" s="23" t="n"/>
      <c r="D493" s="5" t="n"/>
      <c r="E493" s="21" t="n"/>
      <c r="F493" s="6" t="n"/>
    </row>
    <row r="494">
      <c r="A494" s="23" t="n"/>
      <c r="D494" s="5" t="n"/>
      <c r="E494" s="21" t="n"/>
      <c r="F494" s="6" t="n"/>
    </row>
    <row r="495">
      <c r="A495" s="23" t="n"/>
      <c r="D495" s="5" t="n"/>
      <c r="E495" s="21" t="n"/>
      <c r="F495" s="6" t="n"/>
    </row>
    <row r="496">
      <c r="A496" s="23" t="n"/>
      <c r="D496" s="5" t="n"/>
      <c r="E496" s="21" t="n"/>
      <c r="F496" s="6" t="n"/>
    </row>
    <row r="497">
      <c r="A497" s="23" t="n"/>
      <c r="D497" s="5" t="n"/>
      <c r="E497" s="21" t="n"/>
      <c r="F497" s="6" t="n"/>
    </row>
    <row r="498">
      <c r="A498" s="23" t="n"/>
      <c r="D498" s="5" t="n"/>
      <c r="E498" s="21" t="n"/>
      <c r="F498" s="6" t="n"/>
    </row>
    <row r="499">
      <c r="A499" s="23" t="n"/>
      <c r="D499" s="5" t="n"/>
      <c r="E499" s="21" t="n"/>
      <c r="F499" s="6" t="n"/>
    </row>
    <row r="500">
      <c r="A500" s="23" t="n"/>
      <c r="D500" s="5" t="n"/>
      <c r="E500" s="21" t="n"/>
      <c r="F500" s="6" t="n"/>
    </row>
    <row r="501">
      <c r="A501" s="23" t="n"/>
      <c r="D501" s="5" t="n"/>
      <c r="E501" s="21" t="n"/>
      <c r="F501" s="6" t="n"/>
    </row>
    <row r="502">
      <c r="A502" s="23" t="n"/>
      <c r="D502" s="5" t="n"/>
      <c r="E502" s="21" t="n"/>
      <c r="F502" s="6" t="n"/>
    </row>
    <row r="503">
      <c r="A503" s="23" t="n"/>
      <c r="D503" s="5" t="n"/>
      <c r="E503" s="21" t="n"/>
      <c r="F503" s="6" t="n"/>
    </row>
    <row r="504">
      <c r="A504" s="23" t="n"/>
      <c r="D504" s="5" t="n"/>
      <c r="E504" s="21" t="n"/>
      <c r="F504" s="6" t="n"/>
    </row>
    <row r="505">
      <c r="A505" s="23" t="n"/>
      <c r="D505" s="5" t="n"/>
      <c r="E505" s="21" t="n"/>
      <c r="F505" s="6" t="n"/>
    </row>
    <row r="506">
      <c r="A506" s="23" t="n"/>
      <c r="D506" s="5" t="n"/>
      <c r="E506" s="21" t="n"/>
      <c r="F506" s="6" t="n"/>
    </row>
    <row r="507">
      <c r="A507" s="23" t="n"/>
      <c r="D507" s="5" t="n"/>
      <c r="E507" s="21" t="n"/>
      <c r="F507" s="6" t="n"/>
    </row>
    <row r="508">
      <c r="A508" s="23" t="n"/>
      <c r="D508" s="5" t="n"/>
      <c r="E508" s="21" t="n"/>
      <c r="F508" s="6" t="n"/>
    </row>
    <row r="509">
      <c r="A509" s="23" t="n"/>
      <c r="D509" s="5" t="n"/>
      <c r="E509" s="21" t="n"/>
      <c r="F509" s="6" t="n"/>
    </row>
    <row r="510">
      <c r="A510" s="23" t="n"/>
      <c r="D510" s="5" t="n"/>
      <c r="E510" s="21" t="n"/>
      <c r="F510" s="6" t="n"/>
    </row>
    <row r="511">
      <c r="A511" s="23" t="n"/>
      <c r="D511" s="5" t="n"/>
      <c r="E511" s="21" t="n"/>
      <c r="F511" s="6" t="n"/>
    </row>
    <row r="512">
      <c r="A512" s="23" t="n"/>
      <c r="D512" s="5" t="n"/>
      <c r="E512" s="21" t="n"/>
      <c r="F512" s="6" t="n"/>
    </row>
    <row r="513">
      <c r="A513" s="23" t="n"/>
      <c r="D513" s="5" t="n"/>
      <c r="E513" s="21" t="n"/>
      <c r="F513" s="6" t="n"/>
    </row>
    <row r="514">
      <c r="A514" s="23" t="n"/>
      <c r="D514" s="5" t="n"/>
      <c r="E514" s="21" t="n"/>
      <c r="F514" s="6" t="n"/>
    </row>
    <row r="515">
      <c r="A515" s="23" t="n"/>
      <c r="D515" s="5" t="n"/>
      <c r="E515" s="21" t="n"/>
      <c r="F515" s="6" t="n"/>
    </row>
    <row r="516">
      <c r="A516" s="23" t="n"/>
      <c r="D516" s="5" t="n"/>
      <c r="E516" s="21" t="n"/>
      <c r="F516" s="6" t="n"/>
    </row>
    <row r="517">
      <c r="A517" s="23" t="n"/>
      <c r="D517" s="5" t="n"/>
      <c r="E517" s="21" t="n"/>
      <c r="F517" s="6" t="n"/>
    </row>
    <row r="518">
      <c r="A518" s="23" t="n"/>
      <c r="D518" s="5" t="n"/>
      <c r="E518" s="21" t="n"/>
      <c r="F518" s="6" t="n"/>
    </row>
    <row r="519">
      <c r="A519" s="23" t="n"/>
      <c r="D519" s="5" t="n"/>
      <c r="E519" s="21" t="n"/>
      <c r="F519" s="6" t="n"/>
    </row>
    <row r="520">
      <c r="A520" s="23" t="n"/>
      <c r="D520" s="5" t="n"/>
      <c r="E520" s="21" t="n"/>
      <c r="F520" s="6" t="n"/>
    </row>
    <row r="521">
      <c r="A521" s="23" t="n"/>
      <c r="D521" s="5" t="n"/>
      <c r="E521" s="21" t="n"/>
      <c r="F521" s="6" t="n"/>
    </row>
    <row r="522">
      <c r="A522" s="23" t="n"/>
      <c r="D522" s="5" t="n"/>
      <c r="E522" s="21" t="n"/>
      <c r="F522" s="6" t="n"/>
    </row>
    <row r="523">
      <c r="A523" s="23" t="n"/>
      <c r="D523" s="5" t="n"/>
      <c r="E523" s="21" t="n"/>
      <c r="F523" s="6" t="n"/>
    </row>
    <row r="524">
      <c r="A524" s="23" t="n"/>
      <c r="D524" s="5" t="n"/>
      <c r="E524" s="21" t="n"/>
      <c r="F524" s="6" t="n"/>
    </row>
    <row r="525">
      <c r="A525" s="23" t="n"/>
      <c r="D525" s="5" t="n"/>
      <c r="E525" s="21" t="n"/>
      <c r="F525" s="6" t="n"/>
    </row>
    <row r="526">
      <c r="A526" s="23" t="n"/>
      <c r="D526" s="5" t="n"/>
      <c r="E526" s="21" t="n"/>
      <c r="F526" s="6" t="n"/>
    </row>
    <row r="527">
      <c r="A527" s="23" t="n"/>
      <c r="D527" s="5" t="n"/>
      <c r="E527" s="21" t="n"/>
      <c r="F527" s="6" t="n"/>
    </row>
    <row r="528">
      <c r="A528" s="23" t="n"/>
      <c r="D528" s="5" t="n"/>
      <c r="E528" s="21" t="n"/>
      <c r="F528" s="6" t="n"/>
    </row>
    <row r="529">
      <c r="A529" s="23" t="n"/>
      <c r="D529" s="5" t="n"/>
      <c r="E529" s="21" t="n"/>
      <c r="F529" s="6" t="n"/>
    </row>
    <row r="530">
      <c r="A530" s="23" t="n"/>
      <c r="D530" s="5" t="n"/>
      <c r="E530" s="21" t="n"/>
      <c r="F530" s="6" t="n"/>
    </row>
    <row r="531">
      <c r="A531" s="23" t="n"/>
      <c r="D531" s="5" t="n"/>
      <c r="E531" s="21" t="n"/>
      <c r="F531" s="6" t="n"/>
    </row>
    <row r="532">
      <c r="A532" s="23" t="n"/>
      <c r="D532" s="5" t="n"/>
      <c r="E532" s="21" t="n"/>
      <c r="F532" s="6" t="n"/>
    </row>
    <row r="533">
      <c r="A533" s="23" t="n"/>
      <c r="D533" s="5" t="n"/>
      <c r="E533" s="21" t="n"/>
      <c r="F533" s="6" t="n"/>
    </row>
    <row r="534">
      <c r="A534" s="23" t="n"/>
      <c r="D534" s="5" t="n"/>
      <c r="E534" s="21" t="n"/>
      <c r="F534" s="6" t="n"/>
    </row>
    <row r="535">
      <c r="A535" s="23" t="n"/>
      <c r="D535" s="5" t="n"/>
      <c r="E535" s="21" t="n"/>
      <c r="F535" s="6" t="n"/>
    </row>
    <row r="536">
      <c r="A536" s="23" t="n"/>
      <c r="D536" s="5" t="n"/>
      <c r="E536" s="21" t="n"/>
      <c r="F536" s="6" t="n"/>
    </row>
    <row r="537">
      <c r="A537" s="23" t="n"/>
      <c r="D537" s="5" t="n"/>
      <c r="E537" s="21" t="n"/>
      <c r="F537" s="6" t="n"/>
    </row>
    <row r="538">
      <c r="A538" s="23" t="n"/>
      <c r="D538" s="5" t="n"/>
      <c r="E538" s="21" t="n"/>
      <c r="F538" s="6" t="n"/>
    </row>
    <row r="539">
      <c r="A539" s="23" t="n"/>
      <c r="D539" s="5" t="n"/>
      <c r="E539" s="21" t="n"/>
      <c r="F539" s="6" t="n"/>
    </row>
    <row r="540">
      <c r="A540" s="23" t="n"/>
      <c r="D540" s="5" t="n"/>
      <c r="E540" s="21" t="n"/>
      <c r="F540" s="6" t="n"/>
    </row>
    <row r="541">
      <c r="A541" s="23" t="n"/>
      <c r="D541" s="5" t="n"/>
      <c r="E541" s="21" t="n"/>
      <c r="F541" s="6" t="n"/>
    </row>
    <row r="542">
      <c r="A542" s="23" t="n"/>
      <c r="D542" s="5" t="n"/>
      <c r="E542" s="21" t="n"/>
      <c r="F542" s="6" t="n"/>
    </row>
    <row r="543">
      <c r="A543" s="23" t="n"/>
      <c r="D543" s="5" t="n"/>
      <c r="E543" s="21" t="n"/>
      <c r="F543" s="6" t="n"/>
    </row>
    <row r="544">
      <c r="A544" s="23" t="n"/>
      <c r="D544" s="5" t="n"/>
      <c r="E544" s="21" t="n"/>
      <c r="F544" s="6" t="n"/>
    </row>
    <row r="545">
      <c r="A545" s="23" t="n"/>
      <c r="D545" s="5" t="n"/>
      <c r="E545" s="21" t="n"/>
      <c r="F545" s="6" t="n"/>
    </row>
    <row r="546">
      <c r="A546" s="23" t="n"/>
      <c r="D546" s="5" t="n"/>
      <c r="E546" s="21" t="n"/>
      <c r="F546" s="6" t="n"/>
    </row>
    <row r="547">
      <c r="A547" s="23" t="n"/>
      <c r="D547" s="5" t="n"/>
      <c r="E547" s="21" t="n"/>
      <c r="F547" s="6" t="n"/>
    </row>
    <row r="548">
      <c r="A548" s="23" t="n"/>
      <c r="D548" s="5" t="n"/>
      <c r="E548" s="21" t="n"/>
      <c r="F548" s="6" t="n"/>
    </row>
    <row r="549">
      <c r="A549" s="23" t="n"/>
      <c r="D549" s="5" t="n"/>
      <c r="E549" s="21" t="n"/>
      <c r="F549" s="6" t="n"/>
    </row>
    <row r="550">
      <c r="A550" s="23" t="n"/>
      <c r="D550" s="5" t="n"/>
      <c r="E550" s="21" t="n"/>
      <c r="F550" s="6" t="n"/>
    </row>
    <row r="551">
      <c r="A551" s="23" t="n"/>
      <c r="D551" s="5" t="n"/>
      <c r="E551" s="21" t="n"/>
      <c r="F551" s="6" t="n"/>
    </row>
    <row r="552">
      <c r="A552" s="23" t="n"/>
      <c r="D552" s="5" t="n"/>
      <c r="E552" s="21" t="n"/>
      <c r="F552" s="6" t="n"/>
    </row>
    <row r="553">
      <c r="A553" s="23" t="n"/>
      <c r="D553" s="5" t="n"/>
      <c r="E553" s="21" t="n"/>
      <c r="F553" s="6" t="n"/>
    </row>
    <row r="554">
      <c r="A554" s="23" t="n"/>
      <c r="D554" s="5" t="n"/>
      <c r="E554" s="21" t="n"/>
      <c r="F554" s="6" t="n"/>
    </row>
    <row r="555">
      <c r="A555" s="23" t="n"/>
      <c r="D555" s="5" t="n"/>
      <c r="E555" s="21" t="n"/>
      <c r="F555" s="6" t="n"/>
    </row>
    <row r="556">
      <c r="A556" s="23" t="n"/>
      <c r="D556" s="5" t="n"/>
      <c r="E556" s="21" t="n"/>
      <c r="F556" s="6" t="n"/>
    </row>
    <row r="557">
      <c r="A557" s="23" t="n"/>
      <c r="D557" s="5" t="n"/>
      <c r="E557" s="21" t="n"/>
      <c r="F557" s="6" t="n"/>
    </row>
    <row r="558">
      <c r="A558" s="23" t="n"/>
      <c r="D558" s="5" t="n"/>
      <c r="E558" s="21" t="n"/>
      <c r="F558" s="6" t="n"/>
    </row>
    <row r="559">
      <c r="A559" s="23" t="n"/>
      <c r="D559" s="5" t="n"/>
      <c r="E559" s="21" t="n"/>
      <c r="F559" s="6" t="n"/>
    </row>
    <row r="560">
      <c r="A560" s="23" t="n"/>
      <c r="D560" s="5" t="n"/>
      <c r="E560" s="21" t="n"/>
      <c r="F560" s="6" t="n"/>
    </row>
    <row r="561">
      <c r="A561" s="23" t="n"/>
      <c r="D561" s="5" t="n"/>
      <c r="E561" s="21" t="n"/>
      <c r="F561" s="6" t="n"/>
    </row>
    <row r="562">
      <c r="A562" s="23" t="n"/>
      <c r="D562" s="5" t="n"/>
      <c r="E562" s="21" t="n"/>
      <c r="F562" s="6" t="n"/>
    </row>
    <row r="563">
      <c r="A563" s="23" t="n"/>
      <c r="D563" s="5" t="n"/>
      <c r="E563" s="21" t="n"/>
      <c r="F563" s="6" t="n"/>
    </row>
    <row r="564">
      <c r="A564" s="23" t="n"/>
      <c r="D564" s="5" t="n"/>
      <c r="E564" s="21" t="n"/>
      <c r="F564" s="6" t="n"/>
    </row>
    <row r="565">
      <c r="A565" s="23" t="n"/>
      <c r="D565" s="5" t="n"/>
      <c r="E565" s="21" t="n"/>
      <c r="F565" s="6" t="n"/>
    </row>
    <row r="566">
      <c r="A566" s="23" t="n"/>
      <c r="D566" s="5" t="n"/>
      <c r="E566" s="21" t="n"/>
      <c r="F566" s="6" t="n"/>
    </row>
    <row r="567">
      <c r="A567" s="23" t="n"/>
      <c r="D567" s="5" t="n"/>
      <c r="E567" s="21" t="n"/>
      <c r="F567" s="6" t="n"/>
    </row>
    <row r="568">
      <c r="A568" s="23" t="n"/>
      <c r="D568" s="5" t="n"/>
      <c r="E568" s="21" t="n"/>
      <c r="F568" s="6" t="n"/>
    </row>
    <row r="569">
      <c r="A569" s="23" t="n"/>
      <c r="D569" s="5" t="n"/>
      <c r="E569" s="21" t="n"/>
      <c r="F569" s="6" t="n"/>
    </row>
    <row r="570">
      <c r="A570" s="23" t="n"/>
      <c r="D570" s="5" t="n"/>
      <c r="E570" s="21" t="n"/>
      <c r="F570" s="6" t="n"/>
    </row>
    <row r="571">
      <c r="A571" s="23" t="n"/>
      <c r="D571" s="5" t="n"/>
      <c r="E571" s="21" t="n"/>
      <c r="F571" s="6" t="n"/>
    </row>
    <row r="572">
      <c r="A572" s="23" t="n"/>
      <c r="D572" s="5" t="n"/>
      <c r="E572" s="21" t="n"/>
      <c r="F572" s="6" t="n"/>
    </row>
    <row r="573">
      <c r="A573" s="23" t="n"/>
      <c r="D573" s="5" t="n"/>
      <c r="E573" s="21" t="n"/>
      <c r="F573" s="6" t="n"/>
    </row>
    <row r="574">
      <c r="A574" s="23" t="n"/>
      <c r="D574" s="5" t="n"/>
      <c r="E574" s="21" t="n"/>
      <c r="F574" s="6" t="n"/>
    </row>
    <row r="575">
      <c r="A575" s="23" t="n"/>
      <c r="D575" s="5" t="n"/>
      <c r="E575" s="21" t="n"/>
      <c r="F575" s="6" t="n"/>
    </row>
    <row r="576">
      <c r="A576" s="23" t="n"/>
      <c r="D576" s="5" t="n"/>
      <c r="E576" s="21" t="n"/>
      <c r="F576" s="6" t="n"/>
    </row>
    <row r="577">
      <c r="A577" s="23" t="n"/>
      <c r="D577" s="5" t="n"/>
      <c r="E577" s="21" t="n"/>
      <c r="F577" s="6" t="n"/>
    </row>
    <row r="578">
      <c r="A578" s="23" t="n"/>
      <c r="D578" s="5" t="n"/>
      <c r="E578" s="21" t="n"/>
      <c r="F578" s="6" t="n"/>
    </row>
    <row r="579">
      <c r="A579" s="23" t="n"/>
      <c r="D579" s="5" t="n"/>
      <c r="E579" s="21" t="n"/>
      <c r="F579" s="6" t="n"/>
    </row>
    <row r="580">
      <c r="A580" s="23" t="n"/>
      <c r="D580" s="5" t="n"/>
      <c r="E580" s="21" t="n"/>
      <c r="F580" s="6" t="n"/>
    </row>
    <row r="581">
      <c r="A581" s="23" t="n"/>
      <c r="D581" s="5" t="n"/>
      <c r="E581" s="21" t="n"/>
      <c r="F581" s="6" t="n"/>
    </row>
    <row r="582">
      <c r="A582" s="23" t="n"/>
      <c r="D582" s="5" t="n"/>
      <c r="E582" s="21" t="n"/>
      <c r="F582" s="6" t="n"/>
    </row>
    <row r="583">
      <c r="A583" s="23" t="n"/>
      <c r="D583" s="5" t="n"/>
      <c r="E583" s="21" t="n"/>
      <c r="F583" s="6" t="n"/>
    </row>
    <row r="584">
      <c r="A584" s="23" t="n"/>
      <c r="D584" s="5" t="n"/>
      <c r="E584" s="21" t="n"/>
      <c r="F584" s="6" t="n"/>
    </row>
    <row r="585">
      <c r="A585" s="23" t="n"/>
      <c r="D585" s="5" t="n"/>
      <c r="E585" s="21" t="n"/>
      <c r="F585" s="6" t="n"/>
    </row>
    <row r="586">
      <c r="A586" s="23" t="n"/>
      <c r="D586" s="5" t="n"/>
      <c r="E586" s="21" t="n"/>
      <c r="F586" s="6" t="n"/>
    </row>
    <row r="587">
      <c r="A587" s="23" t="n"/>
      <c r="D587" s="5" t="n"/>
      <c r="E587" s="21" t="n"/>
      <c r="F587" s="6" t="n"/>
    </row>
    <row r="588">
      <c r="A588" s="23" t="n"/>
      <c r="D588" s="5" t="n"/>
      <c r="E588" s="21" t="n"/>
      <c r="F588" s="6" t="n"/>
    </row>
    <row r="589">
      <c r="A589" s="23" t="n"/>
      <c r="D589" s="5" t="n"/>
      <c r="E589" s="21" t="n"/>
      <c r="F589" s="6" t="n"/>
    </row>
    <row r="590">
      <c r="A590" s="23" t="n"/>
      <c r="D590" s="5" t="n"/>
      <c r="E590" s="21" t="n"/>
      <c r="F590" s="6" t="n"/>
    </row>
    <row r="591">
      <c r="A591" s="23" t="n"/>
      <c r="D591" s="5" t="n"/>
      <c r="E591" s="21" t="n"/>
      <c r="F591" s="6" t="n"/>
    </row>
    <row r="592">
      <c r="A592" s="23" t="n"/>
      <c r="D592" s="5" t="n"/>
      <c r="E592" s="21" t="n"/>
      <c r="F592" s="6" t="n"/>
    </row>
    <row r="593">
      <c r="A593" s="23" t="n"/>
      <c r="D593" s="5" t="n"/>
      <c r="E593" s="21" t="n"/>
      <c r="F593" s="6" t="n"/>
    </row>
    <row r="594">
      <c r="A594" s="23" t="n"/>
      <c r="D594" s="5" t="n"/>
      <c r="E594" s="21" t="n"/>
      <c r="F594" s="6" t="n"/>
    </row>
    <row r="595">
      <c r="A595" s="23" t="n"/>
      <c r="D595" s="5" t="n"/>
      <c r="E595" s="21" t="n"/>
      <c r="F595" s="6" t="n"/>
    </row>
    <row r="596">
      <c r="A596" s="23" t="n"/>
      <c r="D596" s="5" t="n"/>
      <c r="E596" s="21" t="n"/>
      <c r="F596" s="6" t="n"/>
    </row>
    <row r="597">
      <c r="A597" s="23" t="n"/>
      <c r="D597" s="5" t="n"/>
      <c r="E597" s="21" t="n"/>
      <c r="F597" s="6" t="n"/>
    </row>
    <row r="598">
      <c r="A598" s="23" t="n"/>
      <c r="D598" s="5" t="n"/>
      <c r="E598" s="21" t="n"/>
      <c r="F598" s="6" t="n"/>
    </row>
    <row r="599">
      <c r="A599" s="23" t="n"/>
      <c r="D599" s="5" t="n"/>
      <c r="E599" s="21" t="n"/>
      <c r="F599" s="6" t="n"/>
    </row>
    <row r="600">
      <c r="A600" s="23" t="n"/>
      <c r="D600" s="5" t="n"/>
      <c r="E600" s="21" t="n"/>
      <c r="F600" s="6" t="n"/>
    </row>
    <row r="601">
      <c r="A601" s="23" t="n"/>
      <c r="D601" s="5" t="n"/>
      <c r="E601" s="21" t="n"/>
      <c r="F601" s="6" t="n"/>
    </row>
    <row r="602">
      <c r="A602" s="23" t="n"/>
      <c r="D602" s="5" t="n"/>
      <c r="E602" s="21" t="n"/>
      <c r="F602" s="6" t="n"/>
    </row>
    <row r="603">
      <c r="A603" s="23" t="n"/>
      <c r="D603" s="5" t="n"/>
      <c r="E603" s="21" t="n"/>
      <c r="F603" s="6" t="n"/>
    </row>
    <row r="604">
      <c r="A604" s="23" t="n"/>
      <c r="D604" s="5" t="n"/>
      <c r="E604" s="21" t="n"/>
      <c r="F604" s="6" t="n"/>
    </row>
    <row r="605">
      <c r="A605" s="23" t="n"/>
      <c r="D605" s="5" t="n"/>
      <c r="E605" s="21" t="n"/>
      <c r="F605" s="6" t="n"/>
    </row>
    <row r="606">
      <c r="A606" s="23" t="n"/>
      <c r="D606" s="5" t="n"/>
      <c r="E606" s="21" t="n"/>
      <c r="F606" s="6" t="n"/>
    </row>
    <row r="607">
      <c r="A607" s="23" t="n"/>
      <c r="D607" s="5" t="n"/>
      <c r="E607" s="21" t="n"/>
      <c r="F607" s="6" t="n"/>
    </row>
    <row r="608">
      <c r="A608" s="23" t="n"/>
      <c r="D608" s="5" t="n"/>
      <c r="E608" s="21" t="n"/>
      <c r="F608" s="6" t="n"/>
    </row>
    <row r="609">
      <c r="A609" s="23" t="n"/>
      <c r="D609" s="5" t="n"/>
      <c r="E609" s="21" t="n"/>
      <c r="F609" s="6" t="n"/>
    </row>
    <row r="610">
      <c r="A610" s="23" t="n"/>
      <c r="D610" s="5" t="n"/>
      <c r="E610" s="21" t="n"/>
      <c r="F610" s="6" t="n"/>
    </row>
    <row r="611">
      <c r="A611" s="23" t="n"/>
      <c r="D611" s="5" t="n"/>
      <c r="E611" s="21" t="n"/>
      <c r="F611" s="6" t="n"/>
    </row>
    <row r="612">
      <c r="A612" s="23" t="n"/>
      <c r="D612" s="5" t="n"/>
      <c r="E612" s="21" t="n"/>
      <c r="F612" s="6" t="n"/>
    </row>
    <row r="613">
      <c r="A613" s="23" t="n"/>
      <c r="D613" s="5" t="n"/>
      <c r="E613" s="21" t="n"/>
      <c r="F613" s="6" t="n"/>
    </row>
    <row r="614">
      <c r="A614" s="23" t="n"/>
      <c r="D614" s="5" t="n"/>
      <c r="E614" s="21" t="n"/>
      <c r="F614" s="6" t="n"/>
    </row>
    <row r="615">
      <c r="A615" s="23" t="n"/>
      <c r="D615" s="5" t="n"/>
      <c r="E615" s="21" t="n"/>
      <c r="F615" s="6" t="n"/>
    </row>
    <row r="616">
      <c r="A616" s="23" t="n"/>
      <c r="D616" s="5" t="n"/>
      <c r="E616" s="21" t="n"/>
      <c r="F616" s="6" t="n"/>
    </row>
    <row r="617">
      <c r="A617" s="23" t="n"/>
      <c r="D617" s="5" t="n"/>
      <c r="E617" s="21" t="n"/>
      <c r="F617" s="6" t="n"/>
    </row>
    <row r="618">
      <c r="A618" s="23" t="n"/>
      <c r="D618" s="5" t="n"/>
      <c r="E618" s="21" t="n"/>
      <c r="F618" s="6" t="n"/>
    </row>
    <row r="619">
      <c r="A619" s="23" t="n"/>
      <c r="D619" s="5" t="n"/>
      <c r="E619" s="21" t="n"/>
      <c r="F619" s="6" t="n"/>
    </row>
    <row r="620">
      <c r="A620" s="23" t="n"/>
      <c r="D620" s="5" t="n"/>
      <c r="E620" s="21" t="n"/>
      <c r="F620" s="6" t="n"/>
    </row>
    <row r="621">
      <c r="A621" s="23" t="n"/>
      <c r="D621" s="5" t="n"/>
      <c r="E621" s="21" t="n"/>
      <c r="F621" s="6" t="n"/>
    </row>
    <row r="622">
      <c r="A622" s="23" t="n"/>
      <c r="D622" s="5" t="n"/>
      <c r="E622" s="21" t="n"/>
      <c r="F622" s="6" t="n"/>
    </row>
    <row r="623">
      <c r="A623" s="23" t="n"/>
      <c r="D623" s="5" t="n"/>
      <c r="E623" s="21" t="n"/>
      <c r="F623" s="6" t="n"/>
    </row>
    <row r="624">
      <c r="A624" s="23" t="n"/>
      <c r="D624" s="5" t="n"/>
      <c r="E624" s="21" t="n"/>
      <c r="F624" s="6" t="n"/>
    </row>
    <row r="625">
      <c r="A625" s="23" t="n"/>
      <c r="D625" s="5" t="n"/>
      <c r="E625" s="21" t="n"/>
      <c r="F625" s="6" t="n"/>
    </row>
    <row r="626">
      <c r="A626" s="23" t="n"/>
      <c r="D626" s="5" t="n"/>
      <c r="E626" s="21" t="n"/>
      <c r="F626" s="6" t="n"/>
    </row>
    <row r="627">
      <c r="A627" s="23" t="n"/>
      <c r="D627" s="5" t="n"/>
      <c r="E627" s="21" t="n"/>
      <c r="F627" s="6" t="n"/>
    </row>
    <row r="628">
      <c r="A628" s="23" t="n"/>
      <c r="D628" s="5" t="n"/>
      <c r="E628" s="21" t="n"/>
      <c r="F628" s="6" t="n"/>
    </row>
    <row r="629">
      <c r="A629" s="23" t="n"/>
      <c r="D629" s="5" t="n"/>
      <c r="E629" s="21" t="n"/>
      <c r="F629" s="6" t="n"/>
    </row>
    <row r="630">
      <c r="A630" s="23" t="n"/>
      <c r="D630" s="5" t="n"/>
      <c r="E630" s="21" t="n"/>
      <c r="F630" s="6" t="n"/>
    </row>
    <row r="631">
      <c r="A631" s="23" t="n"/>
      <c r="D631" s="5" t="n"/>
      <c r="E631" s="21" t="n"/>
      <c r="F631" s="6" t="n"/>
    </row>
    <row r="632">
      <c r="A632" s="23" t="n"/>
      <c r="D632" s="5" t="n"/>
      <c r="E632" s="21" t="n"/>
      <c r="F632" s="6" t="n"/>
    </row>
    <row r="633">
      <c r="A633" s="23" t="n"/>
      <c r="D633" s="5" t="n"/>
      <c r="E633" s="21" t="n"/>
      <c r="F633" s="6" t="n"/>
    </row>
    <row r="634">
      <c r="A634" s="23" t="n"/>
      <c r="D634" s="5" t="n"/>
      <c r="E634" s="21" t="n"/>
      <c r="F634" s="6" t="n"/>
    </row>
    <row r="635">
      <c r="A635" s="23" t="n"/>
      <c r="D635" s="5" t="n"/>
      <c r="E635" s="21" t="n"/>
      <c r="F635" s="6" t="n"/>
    </row>
    <row r="636">
      <c r="A636" s="23" t="n"/>
      <c r="D636" s="5" t="n"/>
      <c r="E636" s="21" t="n"/>
      <c r="F636" s="6" t="n"/>
    </row>
    <row r="637">
      <c r="A637" s="23" t="n"/>
      <c r="D637" s="5" t="n"/>
      <c r="E637" s="21" t="n"/>
      <c r="F637" s="6" t="n"/>
    </row>
    <row r="638">
      <c r="A638" s="23" t="n"/>
      <c r="D638" s="5" t="n"/>
      <c r="E638" s="21" t="n"/>
      <c r="F638" s="6" t="n"/>
    </row>
    <row r="639">
      <c r="A639" s="23" t="n"/>
      <c r="D639" s="5" t="n"/>
      <c r="E639" s="21" t="n"/>
      <c r="F639" s="6" t="n"/>
    </row>
    <row r="640">
      <c r="A640" s="23" t="n"/>
      <c r="D640" s="5" t="n"/>
      <c r="E640" s="21" t="n"/>
      <c r="F640" s="6" t="n"/>
    </row>
    <row r="641">
      <c r="A641" s="23" t="n"/>
      <c r="D641" s="5" t="n"/>
      <c r="E641" s="21" t="n"/>
      <c r="F641" s="6" t="n"/>
    </row>
    <row r="642">
      <c r="A642" s="23" t="n"/>
      <c r="D642" s="5" t="n"/>
      <c r="E642" s="21" t="n"/>
      <c r="F642" s="6" t="n"/>
    </row>
    <row r="643">
      <c r="A643" s="23" t="n"/>
      <c r="D643" s="5" t="n"/>
      <c r="E643" s="21" t="n"/>
      <c r="F643" s="6" t="n"/>
    </row>
    <row r="644">
      <c r="A644" s="23" t="n"/>
      <c r="D644" s="5" t="n"/>
      <c r="E644" s="21" t="n"/>
      <c r="F644" s="6" t="n"/>
    </row>
    <row r="645">
      <c r="A645" s="23" t="n"/>
      <c r="D645" s="5" t="n"/>
      <c r="E645" s="21" t="n"/>
      <c r="F645" s="6" t="n"/>
    </row>
    <row r="646">
      <c r="A646" s="23" t="n"/>
      <c r="D646" s="5" t="n"/>
      <c r="E646" s="21" t="n"/>
      <c r="F646" s="6" t="n"/>
    </row>
    <row r="647">
      <c r="A647" s="23" t="n"/>
      <c r="D647" s="5" t="n"/>
      <c r="E647" s="21" t="n"/>
      <c r="F647" s="6" t="n"/>
    </row>
    <row r="648">
      <c r="A648" s="23" t="n"/>
      <c r="D648" s="5" t="n"/>
      <c r="E648" s="21" t="n"/>
      <c r="F648" s="6" t="n"/>
    </row>
    <row r="649">
      <c r="A649" s="23" t="n"/>
      <c r="D649" s="5" t="n"/>
      <c r="E649" s="21" t="n"/>
      <c r="F649" s="6" t="n"/>
    </row>
    <row r="650">
      <c r="A650" s="23" t="n"/>
      <c r="D650" s="5" t="n"/>
      <c r="E650" s="21" t="n"/>
      <c r="F650" s="6" t="n"/>
    </row>
    <row r="651">
      <c r="A651" s="23" t="n"/>
      <c r="D651" s="5" t="n"/>
      <c r="E651" s="21" t="n"/>
      <c r="F651" s="6" t="n"/>
    </row>
    <row r="652">
      <c r="A652" s="23" t="n"/>
      <c r="D652" s="5" t="n"/>
      <c r="E652" s="21" t="n"/>
      <c r="F652" s="6" t="n"/>
    </row>
    <row r="653">
      <c r="A653" s="23" t="n"/>
      <c r="D653" s="5" t="n"/>
      <c r="E653" s="21" t="n"/>
      <c r="F653" s="6" t="n"/>
    </row>
    <row r="654">
      <c r="A654" s="23" t="n"/>
      <c r="D654" s="5" t="n"/>
      <c r="E654" s="21" t="n"/>
      <c r="F654" s="6" t="n"/>
    </row>
    <row r="655">
      <c r="A655" s="23" t="n"/>
      <c r="D655" s="5" t="n"/>
      <c r="E655" s="21" t="n"/>
      <c r="F655" s="6" t="n"/>
    </row>
    <row r="656">
      <c r="A656" s="23" t="n"/>
      <c r="D656" s="5" t="n"/>
      <c r="E656" s="21" t="n"/>
      <c r="F656" s="6" t="n"/>
    </row>
    <row r="657">
      <c r="A657" s="23" t="n"/>
      <c r="D657" s="5" t="n"/>
      <c r="E657" s="21" t="n"/>
      <c r="F657" s="6" t="n"/>
    </row>
    <row r="658">
      <c r="A658" s="23" t="n"/>
      <c r="D658" s="5" t="n"/>
      <c r="E658" s="21" t="n"/>
      <c r="F658" s="6" t="n"/>
    </row>
    <row r="659">
      <c r="A659" s="23" t="n"/>
      <c r="D659" s="5" t="n"/>
      <c r="E659" s="21" t="n"/>
      <c r="F659" s="6" t="n"/>
    </row>
    <row r="660">
      <c r="A660" s="23" t="n"/>
      <c r="D660" s="5" t="n"/>
      <c r="E660" s="21" t="n"/>
      <c r="F660" s="6" t="n"/>
    </row>
    <row r="661">
      <c r="A661" s="23" t="n"/>
      <c r="D661" s="5" t="n"/>
      <c r="E661" s="21" t="n"/>
      <c r="F661" s="6" t="n"/>
    </row>
    <row r="662">
      <c r="A662" s="23" t="n"/>
      <c r="D662" s="5" t="n"/>
      <c r="E662" s="21" t="n"/>
      <c r="F662" s="6" t="n"/>
    </row>
    <row r="663">
      <c r="A663" s="23" t="n"/>
      <c r="D663" s="5" t="n"/>
      <c r="E663" s="21" t="n"/>
      <c r="F663" s="6" t="n"/>
    </row>
    <row r="664">
      <c r="A664" s="23" t="n"/>
      <c r="D664" s="5" t="n"/>
      <c r="E664" s="21" t="n"/>
      <c r="F664" s="6" t="n"/>
    </row>
    <row r="665">
      <c r="A665" s="23" t="n"/>
      <c r="D665" s="5" t="n"/>
      <c r="E665" s="21" t="n"/>
      <c r="F665" s="6" t="n"/>
    </row>
    <row r="666">
      <c r="A666" s="23" t="n"/>
      <c r="D666" s="5" t="n"/>
      <c r="E666" s="21" t="n"/>
      <c r="F666" s="6" t="n"/>
    </row>
    <row r="667">
      <c r="A667" s="23" t="n"/>
      <c r="D667" s="5" t="n"/>
      <c r="E667" s="21" t="n"/>
      <c r="F667" s="6" t="n"/>
    </row>
    <row r="668">
      <c r="A668" s="23" t="n"/>
      <c r="D668" s="5" t="n"/>
      <c r="E668" s="21" t="n"/>
      <c r="F668" s="6" t="n"/>
    </row>
    <row r="669">
      <c r="A669" s="23" t="n"/>
      <c r="D669" s="5" t="n"/>
      <c r="E669" s="21" t="n"/>
      <c r="F669" s="6" t="n"/>
    </row>
    <row r="670">
      <c r="A670" s="23" t="n"/>
      <c r="D670" s="5" t="n"/>
      <c r="E670" s="21" t="n"/>
      <c r="F670" s="6" t="n"/>
    </row>
    <row r="671">
      <c r="A671" s="23" t="n"/>
      <c r="D671" s="5" t="n"/>
      <c r="E671" s="21" t="n"/>
      <c r="F671" s="6" t="n"/>
    </row>
    <row r="672">
      <c r="A672" s="23" t="n"/>
      <c r="D672" s="5" t="n"/>
      <c r="E672" s="21" t="n"/>
      <c r="F672" s="6" t="n"/>
    </row>
    <row r="673">
      <c r="A673" s="23" t="n"/>
      <c r="D673" s="5" t="n"/>
      <c r="E673" s="21" t="n"/>
      <c r="F673" s="6" t="n"/>
    </row>
    <row r="674">
      <c r="A674" s="23" t="n"/>
      <c r="D674" s="5" t="n"/>
      <c r="E674" s="21" t="n"/>
      <c r="F674" s="6" t="n"/>
    </row>
    <row r="675">
      <c r="A675" s="23" t="n"/>
      <c r="D675" s="5" t="n"/>
      <c r="E675" s="21" t="n"/>
      <c r="F675" s="6" t="n"/>
    </row>
    <row r="676">
      <c r="A676" s="23" t="n"/>
      <c r="D676" s="5" t="n"/>
      <c r="E676" s="21" t="n"/>
      <c r="F676" s="6" t="n"/>
    </row>
    <row r="677">
      <c r="A677" s="23" t="n"/>
      <c r="D677" s="5" t="n"/>
      <c r="E677" s="21" t="n"/>
      <c r="F677" s="6" t="n"/>
    </row>
    <row r="678">
      <c r="A678" s="23" t="n"/>
      <c r="D678" s="5" t="n"/>
      <c r="E678" s="21" t="n"/>
      <c r="F678" s="6" t="n"/>
    </row>
    <row r="679">
      <c r="A679" s="23" t="n"/>
      <c r="D679" s="5" t="n"/>
      <c r="E679" s="21" t="n"/>
      <c r="F679" s="6" t="n"/>
    </row>
    <row r="680">
      <c r="A680" s="23" t="n"/>
      <c r="D680" s="5" t="n"/>
      <c r="E680" s="21" t="n"/>
      <c r="F680" s="6" t="n"/>
    </row>
    <row r="681">
      <c r="A681" s="23" t="n"/>
      <c r="D681" s="5" t="n"/>
      <c r="E681" s="21" t="n"/>
      <c r="F681" s="6" t="n"/>
    </row>
    <row r="682">
      <c r="A682" s="23" t="n"/>
      <c r="D682" s="5" t="n"/>
      <c r="E682" s="21" t="n"/>
      <c r="F682" s="6" t="n"/>
    </row>
    <row r="683">
      <c r="A683" s="23" t="n"/>
      <c r="D683" s="5" t="n"/>
      <c r="E683" s="21" t="n"/>
      <c r="F683" s="6" t="n"/>
    </row>
    <row r="684">
      <c r="A684" s="23" t="n"/>
      <c r="D684" s="5" t="n"/>
      <c r="E684" s="21" t="n"/>
      <c r="F684" s="6" t="n"/>
    </row>
    <row r="685">
      <c r="A685" s="23" t="n"/>
      <c r="D685" s="5" t="n"/>
      <c r="E685" s="21" t="n"/>
      <c r="F685" s="6" t="n"/>
    </row>
    <row r="686">
      <c r="A686" s="23" t="n"/>
      <c r="D686" s="5" t="n"/>
      <c r="E686" s="21" t="n"/>
      <c r="F686" s="6" t="n"/>
    </row>
    <row r="687">
      <c r="A687" s="23" t="n"/>
      <c r="D687" s="5" t="n"/>
      <c r="E687" s="21" t="n"/>
      <c r="F687" s="6" t="n"/>
    </row>
    <row r="688">
      <c r="A688" s="23" t="n"/>
      <c r="D688" s="5" t="n"/>
      <c r="E688" s="21" t="n"/>
      <c r="F688" s="6" t="n"/>
    </row>
    <row r="689">
      <c r="A689" s="23" t="n"/>
      <c r="D689" s="5" t="n"/>
      <c r="E689" s="21" t="n"/>
      <c r="F689" s="6" t="n"/>
    </row>
    <row r="690">
      <c r="A690" s="23" t="n"/>
      <c r="D690" s="5" t="n"/>
      <c r="E690" s="21" t="n"/>
      <c r="F690" s="6" t="n"/>
    </row>
    <row r="691">
      <c r="A691" s="23" t="n"/>
      <c r="D691" s="5" t="n"/>
      <c r="E691" s="21" t="n"/>
      <c r="F691" s="6" t="n"/>
    </row>
    <row r="692">
      <c r="A692" s="23" t="n"/>
      <c r="D692" s="5" t="n"/>
      <c r="E692" s="21" t="n"/>
      <c r="F692" s="6" t="n"/>
    </row>
    <row r="693">
      <c r="A693" s="23" t="n"/>
      <c r="D693" s="5" t="n"/>
      <c r="E693" s="21" t="n"/>
      <c r="F693" s="6" t="n"/>
    </row>
    <row r="694">
      <c r="A694" s="23" t="n"/>
      <c r="D694" s="5" t="n"/>
      <c r="E694" s="21" t="n"/>
      <c r="F694" s="6" t="n"/>
    </row>
    <row r="695">
      <c r="A695" s="23" t="n"/>
      <c r="D695" s="5" t="n"/>
      <c r="E695" s="21" t="n"/>
      <c r="F695" s="6" t="n"/>
    </row>
    <row r="696">
      <c r="A696" s="23" t="n"/>
      <c r="D696" s="5" t="n"/>
      <c r="E696" s="21" t="n"/>
      <c r="F696" s="6" t="n"/>
    </row>
    <row r="697">
      <c r="A697" s="23" t="n"/>
      <c r="D697" s="5" t="n"/>
      <c r="E697" s="21" t="n"/>
      <c r="F697" s="6" t="n"/>
    </row>
    <row r="698">
      <c r="A698" s="23" t="n"/>
      <c r="D698" s="5" t="n"/>
      <c r="E698" s="21" t="n"/>
      <c r="F698" s="6" t="n"/>
    </row>
    <row r="699">
      <c r="A699" s="23" t="n"/>
      <c r="D699" s="5" t="n"/>
      <c r="E699" s="21" t="n"/>
      <c r="F699" s="6" t="n"/>
    </row>
    <row r="700">
      <c r="A700" s="23" t="n"/>
      <c r="D700" s="5" t="n"/>
      <c r="E700" s="21" t="n"/>
      <c r="F700" s="6" t="n"/>
    </row>
    <row r="701">
      <c r="A701" s="23" t="n"/>
      <c r="D701" s="5" t="n"/>
      <c r="E701" s="21" t="n"/>
      <c r="F701" s="6" t="n"/>
    </row>
    <row r="702">
      <c r="A702" s="23" t="n"/>
      <c r="D702" s="5" t="n"/>
      <c r="E702" s="21" t="n"/>
      <c r="F702" s="6" t="n"/>
    </row>
    <row r="703">
      <c r="A703" s="23" t="n"/>
      <c r="D703" s="5" t="n"/>
      <c r="E703" s="21" t="n"/>
      <c r="F703" s="6" t="n"/>
    </row>
    <row r="704">
      <c r="A704" s="23" t="n"/>
      <c r="D704" s="5" t="n"/>
      <c r="E704" s="21" t="n"/>
      <c r="F704" s="6" t="n"/>
    </row>
    <row r="705">
      <c r="A705" s="23" t="n"/>
      <c r="D705" s="5" t="n"/>
      <c r="E705" s="21" t="n"/>
      <c r="F705" s="6" t="n"/>
    </row>
    <row r="706">
      <c r="A706" s="23" t="n"/>
      <c r="D706" s="5" t="n"/>
      <c r="E706" s="21" t="n"/>
      <c r="F706" s="6" t="n"/>
    </row>
    <row r="707">
      <c r="A707" s="23" t="n"/>
      <c r="D707" s="5" t="n"/>
      <c r="E707" s="21" t="n"/>
      <c r="F707" s="6" t="n"/>
    </row>
    <row r="708">
      <c r="A708" s="23" t="n"/>
      <c r="D708" s="5" t="n"/>
      <c r="E708" s="21" t="n"/>
      <c r="F708" s="6" t="n"/>
    </row>
    <row r="709">
      <c r="A709" s="23" t="n"/>
      <c r="D709" s="5" t="n"/>
      <c r="E709" s="21" t="n"/>
      <c r="F709" s="6" t="n"/>
    </row>
    <row r="710">
      <c r="A710" s="23" t="n"/>
      <c r="D710" s="5" t="n"/>
      <c r="E710" s="21" t="n"/>
      <c r="F710" s="6" t="n"/>
    </row>
    <row r="711">
      <c r="A711" s="23" t="n"/>
      <c r="D711" s="5" t="n"/>
      <c r="E711" s="21" t="n"/>
      <c r="F711" s="6" t="n"/>
    </row>
    <row r="712">
      <c r="A712" s="23" t="n"/>
      <c r="D712" s="5" t="n"/>
      <c r="E712" s="21" t="n"/>
      <c r="F712" s="6" t="n"/>
    </row>
    <row r="713">
      <c r="A713" s="23" t="n"/>
      <c r="D713" s="5" t="n"/>
      <c r="E713" s="21" t="n"/>
      <c r="F713" s="6" t="n"/>
    </row>
    <row r="714">
      <c r="A714" s="23" t="n"/>
      <c r="D714" s="5" t="n"/>
      <c r="E714" s="21" t="n"/>
      <c r="F714" s="6" t="n"/>
    </row>
    <row r="715">
      <c r="A715" s="23" t="n"/>
      <c r="D715" s="5" t="n"/>
      <c r="E715" s="21" t="n"/>
      <c r="F715" s="6" t="n"/>
    </row>
    <row r="716">
      <c r="A716" s="23" t="n"/>
      <c r="D716" s="5" t="n"/>
      <c r="E716" s="21" t="n"/>
      <c r="F716" s="6" t="n"/>
    </row>
    <row r="717">
      <c r="A717" s="23" t="n"/>
      <c r="D717" s="5" t="n"/>
      <c r="E717" s="21" t="n"/>
      <c r="F717" s="6" t="n"/>
    </row>
    <row r="718">
      <c r="A718" s="23" t="n"/>
      <c r="D718" s="5" t="n"/>
      <c r="E718" s="21" t="n"/>
      <c r="F718" s="6" t="n"/>
    </row>
    <row r="719">
      <c r="A719" s="23" t="n"/>
      <c r="D719" s="5" t="n"/>
      <c r="E719" s="21" t="n"/>
      <c r="F719" s="6" t="n"/>
    </row>
    <row r="720">
      <c r="A720" s="23" t="n"/>
      <c r="D720" s="5" t="n"/>
      <c r="E720" s="21" t="n"/>
      <c r="F720" s="6" t="n"/>
    </row>
    <row r="721">
      <c r="A721" s="23" t="n"/>
      <c r="D721" s="5" t="n"/>
      <c r="E721" s="21" t="n"/>
      <c r="F721" s="6" t="n"/>
    </row>
    <row r="722">
      <c r="A722" s="23" t="n"/>
      <c r="D722" s="5" t="n"/>
      <c r="E722" s="21" t="n"/>
      <c r="F722" s="6" t="n"/>
    </row>
    <row r="723">
      <c r="A723" s="23" t="n"/>
      <c r="D723" s="5" t="n"/>
      <c r="E723" s="21" t="n"/>
      <c r="F723" s="6" t="n"/>
    </row>
    <row r="724">
      <c r="A724" s="23" t="n"/>
      <c r="D724" s="5" t="n"/>
      <c r="E724" s="21" t="n"/>
      <c r="F724" s="6" t="n"/>
    </row>
    <row r="725">
      <c r="A725" s="23" t="n"/>
      <c r="D725" s="5" t="n"/>
      <c r="E725" s="21" t="n"/>
      <c r="F725" s="6" t="n"/>
    </row>
    <row r="726">
      <c r="A726" s="23" t="n"/>
      <c r="D726" s="5" t="n"/>
      <c r="E726" s="21" t="n"/>
      <c r="F726" s="6" t="n"/>
    </row>
    <row r="727">
      <c r="A727" s="23" t="n"/>
      <c r="D727" s="5" t="n"/>
      <c r="E727" s="21" t="n"/>
      <c r="F727" s="6" t="n"/>
    </row>
    <row r="728">
      <c r="A728" s="23" t="n"/>
      <c r="D728" s="5" t="n"/>
      <c r="E728" s="21" t="n"/>
      <c r="F728" s="6" t="n"/>
    </row>
    <row r="729">
      <c r="A729" s="23" t="n"/>
      <c r="D729" s="5" t="n"/>
      <c r="E729" s="21" t="n"/>
      <c r="F729" s="6" t="n"/>
    </row>
    <row r="730">
      <c r="A730" s="23" t="n"/>
      <c r="D730" s="5" t="n"/>
      <c r="E730" s="21" t="n"/>
      <c r="F730" s="6" t="n"/>
    </row>
    <row r="731">
      <c r="A731" s="23" t="n"/>
      <c r="D731" s="5" t="n"/>
      <c r="E731" s="21" t="n"/>
      <c r="F731" s="6" t="n"/>
    </row>
    <row r="732">
      <c r="A732" s="23" t="n"/>
      <c r="D732" s="5" t="n"/>
      <c r="E732" s="21" t="n"/>
      <c r="F732" s="6" t="n"/>
    </row>
    <row r="733">
      <c r="A733" s="23" t="n"/>
      <c r="D733" s="5" t="n"/>
      <c r="E733" s="21" t="n"/>
      <c r="F733" s="6" t="n"/>
    </row>
    <row r="734">
      <c r="A734" s="23" t="n"/>
      <c r="D734" s="5" t="n"/>
      <c r="E734" s="21" t="n"/>
      <c r="F734" s="6" t="n"/>
    </row>
    <row r="735">
      <c r="A735" s="23" t="n"/>
      <c r="D735" s="5" t="n"/>
      <c r="E735" s="21" t="n"/>
      <c r="F735" s="6" t="n"/>
    </row>
    <row r="736">
      <c r="A736" s="23" t="n"/>
      <c r="D736" s="5" t="n"/>
      <c r="E736" s="21" t="n"/>
      <c r="F736" s="6" t="n"/>
    </row>
    <row r="737">
      <c r="A737" s="23" t="n"/>
      <c r="D737" s="5" t="n"/>
      <c r="E737" s="21" t="n"/>
      <c r="F737" s="6" t="n"/>
    </row>
    <row r="738">
      <c r="A738" s="23" t="n"/>
      <c r="D738" s="5" t="n"/>
      <c r="E738" s="21" t="n"/>
      <c r="F738" s="6" t="n"/>
    </row>
    <row r="739">
      <c r="A739" s="23" t="n"/>
      <c r="D739" s="5" t="n"/>
      <c r="E739" s="21" t="n"/>
      <c r="F739" s="6" t="n"/>
    </row>
    <row r="740">
      <c r="A740" s="23" t="n"/>
      <c r="D740" s="5" t="n"/>
      <c r="E740" s="21" t="n"/>
      <c r="F740" s="6" t="n"/>
    </row>
    <row r="741">
      <c r="A741" s="23" t="n"/>
      <c r="D741" s="5" t="n"/>
      <c r="E741" s="21" t="n"/>
      <c r="F741" s="6" t="n"/>
    </row>
    <row r="742">
      <c r="A742" s="23" t="n"/>
      <c r="D742" s="5" t="n"/>
      <c r="E742" s="21" t="n"/>
      <c r="F742" s="6" t="n"/>
    </row>
    <row r="743">
      <c r="A743" s="23" t="n"/>
      <c r="D743" s="5" t="n"/>
      <c r="E743" s="21" t="n"/>
      <c r="F743" s="6" t="n"/>
    </row>
    <row r="744">
      <c r="A744" s="23" t="n"/>
      <c r="D744" s="5" t="n"/>
      <c r="E744" s="21" t="n"/>
      <c r="F744" s="6" t="n"/>
    </row>
    <row r="745">
      <c r="A745" s="23" t="n"/>
      <c r="D745" s="5" t="n"/>
      <c r="E745" s="21" t="n"/>
      <c r="F745" s="6" t="n"/>
    </row>
    <row r="746">
      <c r="A746" s="23" t="n"/>
      <c r="D746" s="5" t="n"/>
      <c r="E746" s="21" t="n"/>
      <c r="F746" s="6" t="n"/>
    </row>
    <row r="747">
      <c r="A747" s="23" t="n"/>
      <c r="D747" s="5" t="n"/>
      <c r="E747" s="21" t="n"/>
      <c r="F747" s="6" t="n"/>
    </row>
    <row r="748">
      <c r="A748" s="23" t="n"/>
      <c r="D748" s="5" t="n"/>
      <c r="E748" s="21" t="n"/>
      <c r="F748" s="6" t="n"/>
    </row>
    <row r="749">
      <c r="A749" s="23" t="n"/>
      <c r="D749" s="5" t="n"/>
      <c r="E749" s="21" t="n"/>
      <c r="F749" s="6" t="n"/>
    </row>
    <row r="750">
      <c r="A750" s="23" t="n"/>
      <c r="D750" s="5" t="n"/>
      <c r="E750" s="21" t="n"/>
      <c r="F750" s="6" t="n"/>
    </row>
    <row r="751">
      <c r="A751" s="23" t="n"/>
      <c r="D751" s="5" t="n"/>
      <c r="E751" s="21" t="n"/>
      <c r="F751" s="6" t="n"/>
    </row>
    <row r="752">
      <c r="A752" s="23" t="n"/>
      <c r="D752" s="5" t="n"/>
      <c r="E752" s="21" t="n"/>
      <c r="F752" s="6" t="n"/>
    </row>
    <row r="753">
      <c r="A753" s="23" t="n"/>
      <c r="D753" s="5" t="n"/>
      <c r="E753" s="21" t="n"/>
      <c r="F753" s="6" t="n"/>
    </row>
    <row r="754">
      <c r="A754" s="23" t="n"/>
      <c r="D754" s="5" t="n"/>
      <c r="E754" s="21" t="n"/>
      <c r="F754" s="6" t="n"/>
    </row>
    <row r="755">
      <c r="A755" s="23" t="n"/>
      <c r="D755" s="5" t="n"/>
      <c r="E755" s="21" t="n"/>
      <c r="F755" s="6" t="n"/>
    </row>
    <row r="756">
      <c r="A756" s="23" t="n"/>
      <c r="D756" s="5" t="n"/>
      <c r="E756" s="21" t="n"/>
      <c r="F756" s="6" t="n"/>
    </row>
    <row r="757">
      <c r="A757" s="23" t="n"/>
      <c r="D757" s="5" t="n"/>
      <c r="E757" s="21" t="n"/>
      <c r="F757" s="6" t="n"/>
    </row>
    <row r="758">
      <c r="A758" s="23" t="n"/>
      <c r="D758" s="5" t="n"/>
      <c r="E758" s="21" t="n"/>
      <c r="F758" s="6" t="n"/>
    </row>
    <row r="759">
      <c r="A759" s="23" t="n"/>
      <c r="D759" s="5" t="n"/>
      <c r="E759" s="21" t="n"/>
      <c r="F759" s="6" t="n"/>
    </row>
    <row r="760">
      <c r="A760" s="23" t="n"/>
      <c r="D760" s="5" t="n"/>
      <c r="E760" s="21" t="n"/>
      <c r="F760" s="6" t="n"/>
    </row>
    <row r="761">
      <c r="A761" s="23" t="n"/>
      <c r="D761" s="5" t="n"/>
      <c r="E761" s="21" t="n"/>
      <c r="F761" s="6" t="n"/>
    </row>
    <row r="762">
      <c r="A762" s="23" t="n"/>
      <c r="D762" s="5" t="n"/>
      <c r="E762" s="21" t="n"/>
      <c r="F762" s="6" t="n"/>
    </row>
    <row r="763">
      <c r="A763" s="23" t="n"/>
      <c r="D763" s="5" t="n"/>
      <c r="E763" s="21" t="n"/>
      <c r="F763" s="6" t="n"/>
    </row>
    <row r="764">
      <c r="A764" s="23" t="n"/>
      <c r="D764" s="5" t="n"/>
      <c r="E764" s="21" t="n"/>
      <c r="F764" s="6" t="n"/>
    </row>
    <row r="765">
      <c r="A765" s="23" t="n"/>
      <c r="D765" s="5" t="n"/>
      <c r="E765" s="21" t="n"/>
      <c r="F765" s="6" t="n"/>
    </row>
    <row r="766">
      <c r="A766" s="23" t="n"/>
      <c r="D766" s="5" t="n"/>
      <c r="E766" s="21" t="n"/>
      <c r="F766" s="6" t="n"/>
    </row>
    <row r="767">
      <c r="A767" s="23" t="n"/>
      <c r="D767" s="5" t="n"/>
      <c r="E767" s="21" t="n"/>
      <c r="F767" s="6" t="n"/>
    </row>
    <row r="768">
      <c r="A768" s="23" t="n"/>
      <c r="D768" s="5" t="n"/>
      <c r="E768" s="21" t="n"/>
      <c r="F768" s="6" t="n"/>
    </row>
    <row r="769">
      <c r="A769" s="23" t="n"/>
      <c r="D769" s="5" t="n"/>
      <c r="E769" s="21" t="n"/>
      <c r="F769" s="6" t="n"/>
    </row>
    <row r="770">
      <c r="A770" s="23" t="n"/>
      <c r="D770" s="5" t="n"/>
      <c r="E770" s="21" t="n"/>
      <c r="F770" s="6" t="n"/>
    </row>
    <row r="771">
      <c r="A771" s="23" t="n"/>
      <c r="D771" s="5" t="n"/>
      <c r="E771" s="21" t="n"/>
      <c r="F771" s="6" t="n"/>
    </row>
    <row r="772">
      <c r="A772" s="23" t="n"/>
      <c r="D772" s="5" t="n"/>
      <c r="E772" s="21" t="n"/>
      <c r="F772" s="6" t="n"/>
    </row>
    <row r="773">
      <c r="A773" s="23" t="n"/>
      <c r="D773" s="5" t="n"/>
      <c r="E773" s="21" t="n"/>
      <c r="F773" s="6" t="n"/>
    </row>
    <row r="774">
      <c r="A774" s="23" t="n"/>
      <c r="D774" s="5" t="n"/>
      <c r="E774" s="21" t="n"/>
      <c r="F774" s="6" t="n"/>
    </row>
    <row r="775">
      <c r="A775" s="23" t="n"/>
      <c r="D775" s="5" t="n"/>
      <c r="E775" s="21" t="n"/>
      <c r="F775" s="6" t="n"/>
    </row>
    <row r="776">
      <c r="A776" s="23" t="n"/>
      <c r="D776" s="5" t="n"/>
      <c r="E776" s="21" t="n"/>
      <c r="F776" s="6" t="n"/>
    </row>
    <row r="777">
      <c r="A777" s="23" t="n"/>
      <c r="D777" s="5" t="n"/>
      <c r="E777" s="21" t="n"/>
      <c r="F777" s="6" t="n"/>
    </row>
    <row r="778">
      <c r="A778" s="23" t="n"/>
      <c r="D778" s="5" t="n"/>
      <c r="E778" s="21" t="n"/>
      <c r="F778" s="6" t="n"/>
    </row>
    <row r="779">
      <c r="A779" s="23" t="n"/>
      <c r="D779" s="5" t="n"/>
      <c r="E779" s="21" t="n"/>
      <c r="F779" s="6" t="n"/>
    </row>
    <row r="780">
      <c r="A780" s="23" t="n"/>
      <c r="D780" s="5" t="n"/>
      <c r="E780" s="21" t="n"/>
      <c r="F780" s="6" t="n"/>
    </row>
    <row r="781">
      <c r="A781" s="23" t="n"/>
      <c r="D781" s="5" t="n"/>
      <c r="E781" s="21" t="n"/>
      <c r="F781" s="6" t="n"/>
    </row>
    <row r="782">
      <c r="A782" s="23" t="n"/>
      <c r="D782" s="5" t="n"/>
      <c r="E782" s="21" t="n"/>
      <c r="F782" s="6" t="n"/>
    </row>
    <row r="783">
      <c r="A783" s="23" t="n"/>
      <c r="D783" s="5" t="n"/>
      <c r="E783" s="21" t="n"/>
      <c r="F783" s="6" t="n"/>
    </row>
    <row r="784">
      <c r="A784" s="23" t="n"/>
      <c r="D784" s="5" t="n"/>
      <c r="E784" s="21" t="n"/>
      <c r="F784" s="6" t="n"/>
    </row>
    <row r="785">
      <c r="A785" s="23" t="n"/>
      <c r="D785" s="5" t="n"/>
      <c r="E785" s="21" t="n"/>
      <c r="F785" s="6" t="n"/>
    </row>
    <row r="786">
      <c r="A786" s="23" t="n"/>
      <c r="D786" s="5" t="n"/>
      <c r="E786" s="21" t="n"/>
      <c r="F786" s="6" t="n"/>
    </row>
    <row r="787">
      <c r="A787" s="23" t="n"/>
      <c r="D787" s="5" t="n"/>
      <c r="E787" s="21" t="n"/>
      <c r="F787" s="6" t="n"/>
    </row>
    <row r="788">
      <c r="A788" s="23" t="n"/>
      <c r="D788" s="5" t="n"/>
      <c r="E788" s="21" t="n"/>
      <c r="F788" s="6" t="n"/>
    </row>
    <row r="789">
      <c r="A789" s="23" t="n"/>
      <c r="D789" s="5" t="n"/>
      <c r="E789" s="21" t="n"/>
      <c r="F789" s="6" t="n"/>
    </row>
    <row r="790">
      <c r="A790" s="23" t="n"/>
      <c r="D790" s="5" t="n"/>
      <c r="E790" s="21" t="n"/>
      <c r="F790" s="6" t="n"/>
    </row>
    <row r="791">
      <c r="A791" s="23" t="n"/>
      <c r="D791" s="5" t="n"/>
      <c r="E791" s="21" t="n"/>
      <c r="F791" s="6" t="n"/>
    </row>
    <row r="792">
      <c r="A792" s="23" t="n"/>
      <c r="D792" s="5" t="n"/>
      <c r="E792" s="21" t="n"/>
      <c r="F792" s="6" t="n"/>
    </row>
    <row r="793">
      <c r="A793" s="23" t="n"/>
      <c r="D793" s="5" t="n"/>
      <c r="E793" s="21" t="n"/>
      <c r="F793" s="6" t="n"/>
    </row>
    <row r="794">
      <c r="A794" s="23" t="n"/>
      <c r="D794" s="5" t="n"/>
      <c r="E794" s="21" t="n"/>
      <c r="F794" s="6" t="n"/>
    </row>
    <row r="795">
      <c r="A795" s="23" t="n"/>
      <c r="D795" s="5" t="n"/>
      <c r="E795" s="21" t="n"/>
      <c r="F795" s="6" t="n"/>
    </row>
    <row r="796">
      <c r="A796" s="23" t="n"/>
      <c r="D796" s="5" t="n"/>
      <c r="E796" s="21" t="n"/>
      <c r="F796" s="6" t="n"/>
    </row>
    <row r="797">
      <c r="A797" s="23" t="n"/>
      <c r="D797" s="5" t="n"/>
      <c r="E797" s="21" t="n"/>
      <c r="F797" s="6" t="n"/>
    </row>
    <row r="798">
      <c r="A798" s="23" t="n"/>
      <c r="D798" s="5" t="n"/>
      <c r="E798" s="21" t="n"/>
      <c r="F798" s="6" t="n"/>
    </row>
    <row r="799">
      <c r="A799" s="23" t="n"/>
      <c r="D799" s="5" t="n"/>
      <c r="E799" s="21" t="n"/>
      <c r="F799" s="6" t="n"/>
    </row>
    <row r="800">
      <c r="A800" s="23" t="n"/>
      <c r="D800" s="5" t="n"/>
      <c r="E800" s="21" t="n"/>
      <c r="F800" s="6" t="n"/>
    </row>
    <row r="801">
      <c r="A801" s="23" t="n"/>
      <c r="D801" s="5" t="n"/>
      <c r="E801" s="21" t="n"/>
      <c r="F801" s="6" t="n"/>
    </row>
    <row r="802">
      <c r="A802" s="23" t="n"/>
      <c r="D802" s="5" t="n"/>
      <c r="E802" s="21" t="n"/>
      <c r="F802" s="6" t="n"/>
    </row>
    <row r="803">
      <c r="A803" s="23" t="n"/>
      <c r="D803" s="5" t="n"/>
      <c r="E803" s="21" t="n"/>
      <c r="F803" s="6" t="n"/>
    </row>
    <row r="804">
      <c r="A804" s="23" t="n"/>
      <c r="D804" s="5" t="n"/>
      <c r="E804" s="21" t="n"/>
      <c r="F804" s="6" t="n"/>
    </row>
    <row r="805">
      <c r="A805" s="23" t="n"/>
      <c r="D805" s="5" t="n"/>
      <c r="E805" s="21" t="n"/>
      <c r="F805" s="6" t="n"/>
    </row>
    <row r="806">
      <c r="A806" s="23" t="n"/>
      <c r="D806" s="5" t="n"/>
      <c r="E806" s="21" t="n"/>
      <c r="F806" s="6" t="n"/>
    </row>
    <row r="807">
      <c r="A807" s="23" t="n"/>
      <c r="D807" s="5" t="n"/>
      <c r="E807" s="21" t="n"/>
      <c r="F807" s="6" t="n"/>
    </row>
    <row r="808">
      <c r="A808" s="23" t="n"/>
      <c r="D808" s="5" t="n"/>
      <c r="E808" s="21" t="n"/>
      <c r="F808" s="6" t="n"/>
    </row>
    <row r="809">
      <c r="A809" s="23" t="n"/>
      <c r="D809" s="5" t="n"/>
      <c r="E809" s="21" t="n"/>
      <c r="F809" s="6" t="n"/>
    </row>
    <row r="810">
      <c r="A810" s="23" t="n"/>
      <c r="D810" s="5" t="n"/>
      <c r="E810" s="21" t="n"/>
      <c r="F810" s="6" t="n"/>
    </row>
    <row r="811">
      <c r="A811" s="23" t="n"/>
      <c r="D811" s="5" t="n"/>
      <c r="E811" s="21" t="n"/>
      <c r="F811" s="6" t="n"/>
    </row>
    <row r="812">
      <c r="A812" s="23" t="n"/>
      <c r="D812" s="5" t="n"/>
      <c r="E812" s="21" t="n"/>
      <c r="F812" s="6" t="n"/>
    </row>
    <row r="813">
      <c r="A813" s="23" t="n"/>
      <c r="D813" s="5" t="n"/>
      <c r="E813" s="21" t="n"/>
      <c r="F813" s="6" t="n"/>
    </row>
    <row r="814">
      <c r="A814" s="23" t="n"/>
      <c r="D814" s="5" t="n"/>
      <c r="E814" s="21" t="n"/>
      <c r="F814" s="6" t="n"/>
    </row>
    <row r="815">
      <c r="A815" s="23" t="n"/>
      <c r="D815" s="5" t="n"/>
      <c r="E815" s="21" t="n"/>
      <c r="F815" s="6" t="n"/>
    </row>
    <row r="816">
      <c r="A816" s="23" t="n"/>
      <c r="D816" s="5" t="n"/>
      <c r="E816" s="21" t="n"/>
      <c r="F816" s="6" t="n"/>
    </row>
    <row r="817">
      <c r="A817" s="23" t="n"/>
      <c r="D817" s="5" t="n"/>
      <c r="E817" s="21" t="n"/>
      <c r="F817" s="6" t="n"/>
    </row>
    <row r="818">
      <c r="A818" s="23" t="n"/>
      <c r="D818" s="5" t="n"/>
      <c r="E818" s="21" t="n"/>
      <c r="F818" s="6" t="n"/>
    </row>
    <row r="819">
      <c r="A819" s="23" t="n"/>
      <c r="D819" s="5" t="n"/>
      <c r="E819" s="21" t="n"/>
      <c r="F819" s="6" t="n"/>
    </row>
    <row r="820">
      <c r="A820" s="23" t="n"/>
      <c r="D820" s="5" t="n"/>
      <c r="E820" s="21" t="n"/>
      <c r="F820" s="6" t="n"/>
    </row>
    <row r="821">
      <c r="A821" s="23" t="n"/>
      <c r="D821" s="5" t="n"/>
      <c r="E821" s="21" t="n"/>
      <c r="F821" s="6" t="n"/>
    </row>
    <row r="822">
      <c r="A822" s="23" t="n"/>
      <c r="D822" s="5" t="n"/>
      <c r="E822" s="21" t="n"/>
      <c r="F822" s="6" t="n"/>
    </row>
    <row r="823">
      <c r="A823" s="23" t="n"/>
      <c r="D823" s="5" t="n"/>
      <c r="E823" s="21" t="n"/>
      <c r="F823" s="6" t="n"/>
    </row>
    <row r="824">
      <c r="A824" s="23" t="n"/>
      <c r="D824" s="5" t="n"/>
      <c r="E824" s="21" t="n"/>
      <c r="F824" s="6" t="n"/>
    </row>
    <row r="825">
      <c r="A825" s="23" t="n"/>
      <c r="D825" s="5" t="n"/>
      <c r="E825" s="21" t="n"/>
      <c r="F825" s="6" t="n"/>
    </row>
    <row r="826">
      <c r="A826" s="23" t="n"/>
      <c r="D826" s="5" t="n"/>
      <c r="E826" s="21" t="n"/>
      <c r="F826" s="6" t="n"/>
    </row>
    <row r="827">
      <c r="A827" s="23" t="n"/>
      <c r="D827" s="5" t="n"/>
      <c r="E827" s="21" t="n"/>
      <c r="F827" s="6" t="n"/>
    </row>
    <row r="828">
      <c r="A828" s="23" t="n"/>
      <c r="D828" s="5" t="n"/>
      <c r="E828" s="21" t="n"/>
      <c r="F828" s="6" t="n"/>
    </row>
    <row r="829">
      <c r="A829" s="23" t="n"/>
      <c r="D829" s="5" t="n"/>
      <c r="E829" s="21" t="n"/>
      <c r="F829" s="6" t="n"/>
    </row>
    <row r="830">
      <c r="A830" s="23" t="n"/>
      <c r="D830" s="5" t="n"/>
      <c r="E830" s="21" t="n"/>
      <c r="F830" s="6" t="n"/>
    </row>
    <row r="831">
      <c r="A831" s="23" t="n"/>
      <c r="D831" s="5" t="n"/>
      <c r="E831" s="21" t="n"/>
      <c r="F831" s="6" t="n"/>
    </row>
    <row r="832">
      <c r="A832" s="23" t="n"/>
      <c r="D832" s="5" t="n"/>
      <c r="E832" s="21" t="n"/>
      <c r="F832" s="6" t="n"/>
    </row>
    <row r="833">
      <c r="A833" s="23" t="n"/>
      <c r="D833" s="5" t="n"/>
      <c r="E833" s="21" t="n"/>
      <c r="F833" s="6" t="n"/>
    </row>
    <row r="834">
      <c r="A834" s="23" t="n"/>
      <c r="D834" s="5" t="n"/>
      <c r="E834" s="21" t="n"/>
      <c r="F834" s="6" t="n"/>
    </row>
    <row r="835">
      <c r="A835" s="23" t="n"/>
      <c r="D835" s="5" t="n"/>
      <c r="E835" s="21" t="n"/>
      <c r="F835" s="6" t="n"/>
    </row>
    <row r="836">
      <c r="A836" s="23" t="n"/>
      <c r="D836" s="5" t="n"/>
      <c r="E836" s="21" t="n"/>
      <c r="F836" s="6" t="n"/>
    </row>
    <row r="837">
      <c r="A837" s="23" t="n"/>
      <c r="D837" s="5" t="n"/>
      <c r="E837" s="21" t="n"/>
      <c r="F837" s="6" t="n"/>
    </row>
    <row r="838">
      <c r="A838" s="23" t="n"/>
      <c r="D838" s="5" t="n"/>
      <c r="E838" s="21" t="n"/>
      <c r="F838" s="6" t="n"/>
    </row>
    <row r="839">
      <c r="A839" s="23" t="n"/>
      <c r="D839" s="5" t="n"/>
      <c r="E839" s="21" t="n"/>
      <c r="F839" s="6" t="n"/>
    </row>
    <row r="840">
      <c r="A840" s="23" t="n"/>
      <c r="D840" s="5" t="n"/>
      <c r="E840" s="21" t="n"/>
      <c r="F840" s="6" t="n"/>
    </row>
    <row r="841">
      <c r="A841" s="23" t="n"/>
      <c r="D841" s="5" t="n"/>
      <c r="E841" s="21" t="n"/>
      <c r="F841" s="6" t="n"/>
    </row>
    <row r="842">
      <c r="A842" s="23" t="n"/>
      <c r="D842" s="5" t="n"/>
      <c r="E842" s="21" t="n"/>
      <c r="F842" s="6" t="n"/>
    </row>
    <row r="843">
      <c r="A843" s="23" t="n"/>
      <c r="D843" s="5" t="n"/>
      <c r="E843" s="21" t="n"/>
      <c r="F843" s="6" t="n"/>
    </row>
    <row r="844">
      <c r="A844" s="23" t="n"/>
      <c r="D844" s="5" t="n"/>
      <c r="E844" s="21" t="n"/>
      <c r="F844" s="6" t="n"/>
    </row>
    <row r="845">
      <c r="A845" s="23" t="n"/>
      <c r="D845" s="5" t="n"/>
      <c r="E845" s="21" t="n"/>
      <c r="F845" s="6" t="n"/>
    </row>
    <row r="846">
      <c r="A846" s="23" t="n"/>
      <c r="D846" s="5" t="n"/>
      <c r="E846" s="21" t="n"/>
      <c r="F846" s="6" t="n"/>
    </row>
    <row r="847">
      <c r="A847" s="23" t="n"/>
      <c r="D847" s="5" t="n"/>
      <c r="E847" s="21" t="n"/>
      <c r="F847" s="6" t="n"/>
    </row>
    <row r="848">
      <c r="A848" s="23" t="n"/>
      <c r="D848" s="5" t="n"/>
      <c r="E848" s="21" t="n"/>
      <c r="F848" s="6" t="n"/>
    </row>
    <row r="849">
      <c r="A849" s="23" t="n"/>
      <c r="D849" s="5" t="n"/>
      <c r="E849" s="21" t="n"/>
      <c r="F849" s="6" t="n"/>
    </row>
    <row r="850">
      <c r="A850" s="23" t="n"/>
      <c r="D850" s="5" t="n"/>
      <c r="E850" s="21" t="n"/>
      <c r="F850" s="6" t="n"/>
    </row>
    <row r="851">
      <c r="A851" s="23" t="n"/>
      <c r="D851" s="5" t="n"/>
      <c r="E851" s="21" t="n"/>
      <c r="F851" s="6" t="n"/>
    </row>
    <row r="852">
      <c r="A852" s="23" t="n"/>
      <c r="D852" s="5" t="n"/>
      <c r="E852" s="21" t="n"/>
      <c r="F852" s="6" t="n"/>
    </row>
    <row r="853">
      <c r="A853" s="23" t="n"/>
      <c r="D853" s="5" t="n"/>
      <c r="E853" s="21" t="n"/>
      <c r="F853" s="6" t="n"/>
    </row>
    <row r="854">
      <c r="A854" s="23" t="n"/>
      <c r="D854" s="5" t="n"/>
      <c r="E854" s="21" t="n"/>
      <c r="F854" s="6" t="n"/>
    </row>
    <row r="855">
      <c r="A855" s="23" t="n"/>
      <c r="D855" s="5" t="n"/>
      <c r="E855" s="21" t="n"/>
      <c r="F855" s="6" t="n"/>
    </row>
    <row r="856">
      <c r="A856" s="23" t="n"/>
      <c r="D856" s="5" t="n"/>
      <c r="E856" s="21" t="n"/>
      <c r="F856" s="6" t="n"/>
    </row>
    <row r="857">
      <c r="A857" s="23" t="n"/>
      <c r="D857" s="5" t="n"/>
      <c r="E857" s="21" t="n"/>
      <c r="F857" s="6" t="n"/>
    </row>
    <row r="858">
      <c r="A858" s="23" t="n"/>
      <c r="D858" s="5" t="n"/>
      <c r="E858" s="21" t="n"/>
      <c r="F858" s="6" t="n"/>
    </row>
    <row r="859">
      <c r="A859" s="23" t="n"/>
      <c r="D859" s="5" t="n"/>
      <c r="E859" s="21" t="n"/>
      <c r="F859" s="6" t="n"/>
    </row>
    <row r="860">
      <c r="A860" s="23" t="n"/>
      <c r="D860" s="5" t="n"/>
      <c r="E860" s="21" t="n"/>
      <c r="F860" s="6" t="n"/>
    </row>
    <row r="861">
      <c r="A861" s="23" t="n"/>
      <c r="D861" s="5" t="n"/>
      <c r="E861" s="21" t="n"/>
      <c r="F861" s="6" t="n"/>
    </row>
    <row r="862">
      <c r="A862" s="23" t="n"/>
      <c r="D862" s="5" t="n"/>
      <c r="E862" s="21" t="n"/>
      <c r="F862" s="6" t="n"/>
    </row>
    <row r="863">
      <c r="A863" s="23" t="n"/>
      <c r="D863" s="5" t="n"/>
      <c r="E863" s="21" t="n"/>
      <c r="F863" s="6" t="n"/>
    </row>
    <row r="864">
      <c r="A864" s="23" t="n"/>
      <c r="D864" s="5" t="n"/>
      <c r="E864" s="21" t="n"/>
      <c r="F864" s="6" t="n"/>
    </row>
    <row r="865">
      <c r="A865" s="23" t="n"/>
      <c r="D865" s="5" t="n"/>
      <c r="E865" s="21" t="n"/>
      <c r="F865" s="6" t="n"/>
    </row>
    <row r="866">
      <c r="A866" s="23" t="n"/>
      <c r="D866" s="5" t="n"/>
      <c r="E866" s="21" t="n"/>
      <c r="F866" s="6" t="n"/>
    </row>
    <row r="867">
      <c r="A867" s="23" t="n"/>
      <c r="D867" s="5" t="n"/>
      <c r="E867" s="21" t="n"/>
      <c r="F867" s="6" t="n"/>
    </row>
    <row r="868">
      <c r="A868" s="23" t="n"/>
      <c r="D868" s="5" t="n"/>
      <c r="E868" s="21" t="n"/>
      <c r="F868" s="6" t="n"/>
    </row>
    <row r="869">
      <c r="A869" s="23" t="n"/>
      <c r="D869" s="5" t="n"/>
      <c r="E869" s="21" t="n"/>
      <c r="F869" s="6" t="n"/>
    </row>
    <row r="870">
      <c r="A870" s="23" t="n"/>
      <c r="D870" s="5" t="n"/>
      <c r="E870" s="21" t="n"/>
      <c r="F870" s="6" t="n"/>
    </row>
    <row r="871">
      <c r="A871" s="23" t="n"/>
      <c r="D871" s="5" t="n"/>
      <c r="E871" s="21" t="n"/>
      <c r="F871" s="6" t="n"/>
    </row>
    <row r="872">
      <c r="A872" s="23" t="n"/>
      <c r="D872" s="5" t="n"/>
      <c r="E872" s="21" t="n"/>
      <c r="F872" s="6" t="n"/>
    </row>
    <row r="873">
      <c r="A873" s="23" t="n"/>
      <c r="D873" s="5" t="n"/>
      <c r="E873" s="21" t="n"/>
      <c r="F873" s="6" t="n"/>
    </row>
    <row r="874">
      <c r="A874" s="23" t="n"/>
      <c r="D874" s="5" t="n"/>
      <c r="E874" s="21" t="n"/>
      <c r="F874" s="6" t="n"/>
    </row>
    <row r="875">
      <c r="A875" s="23" t="n"/>
      <c r="D875" s="5" t="n"/>
      <c r="E875" s="21" t="n"/>
      <c r="F875" s="6" t="n"/>
    </row>
    <row r="876">
      <c r="A876" s="23" t="n"/>
      <c r="D876" s="5" t="n"/>
      <c r="E876" s="21" t="n"/>
      <c r="F876" s="6" t="n"/>
    </row>
    <row r="877">
      <c r="A877" s="23" t="n"/>
      <c r="D877" s="5" t="n"/>
      <c r="E877" s="21" t="n"/>
      <c r="F877" s="6" t="n"/>
    </row>
    <row r="878">
      <c r="A878" s="23" t="n"/>
      <c r="D878" s="5" t="n"/>
      <c r="E878" s="21" t="n"/>
      <c r="F878" s="6" t="n"/>
    </row>
    <row r="879">
      <c r="A879" s="23" t="n"/>
      <c r="D879" s="5" t="n"/>
      <c r="E879" s="21" t="n"/>
      <c r="F879" s="6" t="n"/>
    </row>
    <row r="880">
      <c r="A880" s="23" t="n"/>
      <c r="D880" s="5" t="n"/>
      <c r="E880" s="21" t="n"/>
      <c r="F880" s="6" t="n"/>
    </row>
    <row r="881">
      <c r="A881" s="23" t="n"/>
      <c r="D881" s="5" t="n"/>
      <c r="E881" s="21" t="n"/>
      <c r="F881" s="6" t="n"/>
    </row>
    <row r="882">
      <c r="A882" s="23" t="n"/>
      <c r="D882" s="5" t="n"/>
      <c r="E882" s="21" t="n"/>
      <c r="F882" s="6" t="n"/>
    </row>
    <row r="883">
      <c r="A883" s="23" t="n"/>
      <c r="D883" s="5" t="n"/>
      <c r="E883" s="21" t="n"/>
      <c r="F883" s="6" t="n"/>
    </row>
    <row r="884">
      <c r="A884" s="23" t="n"/>
      <c r="D884" s="5" t="n"/>
      <c r="E884" s="21" t="n"/>
      <c r="F884" s="6" t="n"/>
    </row>
    <row r="885">
      <c r="A885" s="23" t="n"/>
      <c r="D885" s="5" t="n"/>
      <c r="E885" s="21" t="n"/>
      <c r="F885" s="6" t="n"/>
    </row>
    <row r="886">
      <c r="A886" s="23" t="n"/>
      <c r="D886" s="5" t="n"/>
      <c r="E886" s="21" t="n"/>
      <c r="F886" s="6" t="n"/>
    </row>
    <row r="887">
      <c r="A887" s="23" t="n"/>
      <c r="D887" s="5" t="n"/>
      <c r="E887" s="21" t="n"/>
      <c r="F887" s="6" t="n"/>
    </row>
    <row r="888">
      <c r="A888" s="23" t="n"/>
      <c r="D888" s="5" t="n"/>
      <c r="E888" s="21" t="n"/>
      <c r="F888" s="6" t="n"/>
    </row>
    <row r="889">
      <c r="A889" s="23" t="n"/>
      <c r="D889" s="5" t="n"/>
      <c r="E889" s="21" t="n"/>
      <c r="F889" s="6" t="n"/>
    </row>
    <row r="890">
      <c r="A890" s="23" t="n"/>
      <c r="D890" s="5" t="n"/>
      <c r="E890" s="21" t="n"/>
      <c r="F890" s="6" t="n"/>
    </row>
    <row r="891">
      <c r="A891" s="23" t="n"/>
      <c r="D891" s="5" t="n"/>
      <c r="E891" s="21" t="n"/>
      <c r="F891" s="6" t="n"/>
    </row>
    <row r="892">
      <c r="A892" s="23" t="n"/>
      <c r="D892" s="5" t="n"/>
      <c r="E892" s="21" t="n"/>
      <c r="F892" s="6" t="n"/>
    </row>
    <row r="893">
      <c r="A893" s="23" t="n"/>
      <c r="D893" s="5" t="n"/>
      <c r="E893" s="21" t="n"/>
      <c r="F893" s="6" t="n"/>
    </row>
    <row r="894">
      <c r="A894" s="23" t="n"/>
      <c r="D894" s="5" t="n"/>
      <c r="E894" s="21" t="n"/>
      <c r="F894" s="6" t="n"/>
    </row>
    <row r="895">
      <c r="A895" s="23" t="n"/>
      <c r="D895" s="5" t="n"/>
      <c r="E895" s="21" t="n"/>
      <c r="F895" s="6" t="n"/>
    </row>
    <row r="896">
      <c r="A896" s="23" t="n"/>
      <c r="D896" s="5" t="n"/>
      <c r="E896" s="21" t="n"/>
      <c r="F896" s="6" t="n"/>
    </row>
    <row r="897">
      <c r="A897" s="23" t="n"/>
      <c r="D897" s="5" t="n"/>
      <c r="E897" s="21" t="n"/>
      <c r="F897" s="6" t="n"/>
    </row>
    <row r="898">
      <c r="A898" s="23" t="n"/>
      <c r="D898" s="5" t="n"/>
      <c r="E898" s="21" t="n"/>
      <c r="F898" s="6" t="n"/>
    </row>
    <row r="899">
      <c r="A899" s="23" t="n"/>
      <c r="D899" s="5" t="n"/>
      <c r="E899" s="21" t="n"/>
      <c r="F899" s="6" t="n"/>
    </row>
    <row r="900">
      <c r="A900" s="23" t="n"/>
      <c r="D900" s="5" t="n"/>
      <c r="E900" s="21" t="n"/>
      <c r="F900" s="6" t="n"/>
    </row>
    <row r="901">
      <c r="A901" s="23" t="n"/>
      <c r="D901" s="5" t="n"/>
      <c r="E901" s="21" t="n"/>
      <c r="F901" s="6" t="n"/>
    </row>
    <row r="902">
      <c r="A902" s="23" t="n"/>
      <c r="D902" s="5" t="n"/>
      <c r="E902" s="21" t="n"/>
      <c r="F902" s="6" t="n"/>
    </row>
    <row r="903">
      <c r="A903" s="23" t="n"/>
      <c r="D903" s="5" t="n"/>
      <c r="E903" s="21" t="n"/>
      <c r="F903" s="6" t="n"/>
    </row>
    <row r="904">
      <c r="A904" s="23" t="n"/>
      <c r="D904" s="5" t="n"/>
      <c r="E904" s="21" t="n"/>
      <c r="F904" s="6" t="n"/>
    </row>
    <row r="905">
      <c r="A905" s="23" t="n"/>
      <c r="D905" s="5" t="n"/>
      <c r="E905" s="21" t="n"/>
      <c r="F905" s="6" t="n"/>
    </row>
    <row r="906">
      <c r="A906" s="23" t="n"/>
      <c r="D906" s="5" t="n"/>
      <c r="E906" s="21" t="n"/>
      <c r="F906" s="6" t="n"/>
    </row>
    <row r="907">
      <c r="A907" s="23" t="n"/>
      <c r="D907" s="5" t="n"/>
      <c r="E907" s="21" t="n"/>
      <c r="F907" s="6" t="n"/>
    </row>
    <row r="908">
      <c r="A908" s="23" t="n"/>
      <c r="D908" s="5" t="n"/>
      <c r="E908" s="21" t="n"/>
      <c r="F908" s="6" t="n"/>
    </row>
    <row r="909">
      <c r="A909" s="23" t="n"/>
      <c r="D909" s="5" t="n"/>
      <c r="E909" s="21" t="n"/>
      <c r="F909" s="6" t="n"/>
    </row>
    <row r="910">
      <c r="A910" s="23" t="n"/>
      <c r="D910" s="5" t="n"/>
      <c r="E910" s="21" t="n"/>
      <c r="F910" s="6" t="n"/>
    </row>
    <row r="911">
      <c r="A911" s="23" t="n"/>
      <c r="D911" s="5" t="n"/>
      <c r="E911" s="21" t="n"/>
      <c r="F911" s="6" t="n"/>
    </row>
    <row r="912">
      <c r="A912" s="23" t="n"/>
      <c r="D912" s="5" t="n"/>
      <c r="E912" s="21" t="n"/>
      <c r="F912" s="6" t="n"/>
    </row>
    <row r="913">
      <c r="A913" s="23" t="n"/>
      <c r="D913" s="5" t="n"/>
      <c r="E913" s="21" t="n"/>
      <c r="F913" s="6" t="n"/>
    </row>
    <row r="914">
      <c r="A914" s="23" t="n"/>
      <c r="D914" s="5" t="n"/>
      <c r="E914" s="21" t="n"/>
      <c r="F914" s="6" t="n"/>
    </row>
    <row r="915">
      <c r="A915" s="23" t="n"/>
      <c r="D915" s="5" t="n"/>
      <c r="E915" s="21" t="n"/>
      <c r="F915" s="6" t="n"/>
    </row>
    <row r="916">
      <c r="A916" s="23" t="n"/>
      <c r="D916" s="5" t="n"/>
      <c r="E916" s="21" t="n"/>
      <c r="F916" s="6" t="n"/>
    </row>
    <row r="917">
      <c r="A917" s="23" t="n"/>
      <c r="D917" s="5" t="n"/>
      <c r="E917" s="21" t="n"/>
      <c r="F917" s="6" t="n"/>
    </row>
    <row r="918">
      <c r="A918" s="23" t="n"/>
      <c r="D918" s="5" t="n"/>
      <c r="E918" s="21" t="n"/>
      <c r="F918" s="6" t="n"/>
    </row>
    <row r="919">
      <c r="A919" s="23" t="n"/>
      <c r="D919" s="5" t="n"/>
      <c r="E919" s="21" t="n"/>
      <c r="F919" s="6" t="n"/>
    </row>
    <row r="920">
      <c r="A920" s="23" t="n"/>
      <c r="D920" s="5" t="n"/>
      <c r="E920" s="21" t="n"/>
      <c r="F920" s="6" t="n"/>
    </row>
    <row r="921">
      <c r="A921" s="23" t="n"/>
      <c r="D921" s="5" t="n"/>
      <c r="E921" s="21" t="n"/>
      <c r="F921" s="6" t="n"/>
    </row>
    <row r="922">
      <c r="A922" s="23" t="n"/>
      <c r="D922" s="5" t="n"/>
      <c r="E922" s="21" t="n"/>
      <c r="F922" s="6" t="n"/>
    </row>
    <row r="923">
      <c r="A923" s="23" t="n"/>
      <c r="D923" s="5" t="n"/>
      <c r="E923" s="21" t="n"/>
      <c r="F923" s="6" t="n"/>
    </row>
    <row r="924">
      <c r="A924" s="23" t="n"/>
      <c r="D924" s="5" t="n"/>
      <c r="E924" s="21" t="n"/>
      <c r="F924" s="6" t="n"/>
    </row>
    <row r="925">
      <c r="A925" s="23" t="n"/>
      <c r="D925" s="5" t="n"/>
      <c r="E925" s="21" t="n"/>
      <c r="F925" s="6" t="n"/>
    </row>
    <row r="926">
      <c r="A926" s="23" t="n"/>
      <c r="D926" s="5" t="n"/>
      <c r="E926" s="21" t="n"/>
      <c r="F926" s="6" t="n"/>
    </row>
    <row r="927">
      <c r="A927" s="23" t="n"/>
      <c r="D927" s="5" t="n"/>
      <c r="E927" s="21" t="n"/>
      <c r="F927" s="6" t="n"/>
    </row>
    <row r="928">
      <c r="A928" s="23" t="n"/>
      <c r="D928" s="5" t="n"/>
      <c r="E928" s="21" t="n"/>
      <c r="F928" s="6" t="n"/>
    </row>
    <row r="929">
      <c r="A929" s="23" t="n"/>
      <c r="D929" s="5" t="n"/>
      <c r="E929" s="21" t="n"/>
      <c r="F929" s="6" t="n"/>
    </row>
    <row r="930">
      <c r="A930" s="23" t="n"/>
      <c r="D930" s="5" t="n"/>
      <c r="E930" s="21" t="n"/>
      <c r="F930" s="6" t="n"/>
    </row>
    <row r="931">
      <c r="A931" s="23" t="n"/>
      <c r="D931" s="5" t="n"/>
      <c r="E931" s="21" t="n"/>
      <c r="F931" s="6" t="n"/>
    </row>
    <row r="932">
      <c r="A932" s="23" t="n"/>
      <c r="D932" s="5" t="n"/>
      <c r="E932" s="21" t="n"/>
      <c r="F932" s="6" t="n"/>
    </row>
    <row r="933">
      <c r="A933" s="23" t="n"/>
      <c r="D933" s="5" t="n"/>
      <c r="E933" s="21" t="n"/>
      <c r="F933" s="6" t="n"/>
    </row>
    <row r="934">
      <c r="A934" s="23" t="n"/>
      <c r="D934" s="5" t="n"/>
      <c r="E934" s="21" t="n"/>
      <c r="F934" s="6" t="n"/>
    </row>
    <row r="935">
      <c r="A935" s="23" t="n"/>
      <c r="D935" s="5" t="n"/>
      <c r="E935" s="21" t="n"/>
      <c r="F935" s="6" t="n"/>
    </row>
    <row r="936">
      <c r="A936" s="23" t="n"/>
      <c r="D936" s="5" t="n"/>
      <c r="E936" s="21" t="n"/>
      <c r="F936" s="6" t="n"/>
    </row>
    <row r="937">
      <c r="A937" s="23" t="n"/>
      <c r="D937" s="5" t="n"/>
      <c r="E937" s="21" t="n"/>
      <c r="F937" s="6" t="n"/>
    </row>
    <row r="938">
      <c r="A938" s="23" t="n"/>
      <c r="D938" s="5" t="n"/>
      <c r="E938" s="21" t="n"/>
      <c r="F938" s="6" t="n"/>
    </row>
    <row r="939">
      <c r="A939" s="23" t="n"/>
      <c r="D939" s="5" t="n"/>
      <c r="E939" s="21" t="n"/>
      <c r="F939" s="6" t="n"/>
    </row>
    <row r="940">
      <c r="A940" s="23" t="n"/>
      <c r="D940" s="5" t="n"/>
      <c r="E940" s="21" t="n"/>
      <c r="F940" s="6" t="n"/>
    </row>
    <row r="941">
      <c r="A941" s="23" t="n"/>
      <c r="D941" s="5" t="n"/>
      <c r="E941" s="21" t="n"/>
      <c r="F941" s="6" t="n"/>
    </row>
    <row r="942">
      <c r="A942" s="23" t="n"/>
      <c r="D942" s="5" t="n"/>
      <c r="E942" s="21" t="n"/>
      <c r="F942" s="6" t="n"/>
    </row>
    <row r="943">
      <c r="A943" s="23" t="n"/>
      <c r="D943" s="5" t="n"/>
      <c r="E943" s="21" t="n"/>
      <c r="F943" s="6" t="n"/>
    </row>
    <row r="944">
      <c r="A944" s="23" t="n"/>
      <c r="D944" s="5" t="n"/>
      <c r="E944" s="21" t="n"/>
      <c r="F944" s="6" t="n"/>
    </row>
    <row r="945">
      <c r="A945" s="23" t="n"/>
      <c r="D945" s="5" t="n"/>
      <c r="E945" s="21" t="n"/>
      <c r="F945" s="6" t="n"/>
    </row>
    <row r="946">
      <c r="A946" s="23" t="n"/>
      <c r="D946" s="5" t="n"/>
      <c r="E946" s="21" t="n"/>
      <c r="F946" s="6" t="n"/>
    </row>
    <row r="947">
      <c r="A947" s="23" t="n"/>
      <c r="D947" s="5" t="n"/>
      <c r="E947" s="21" t="n"/>
      <c r="F947" s="6" t="n"/>
    </row>
    <row r="948">
      <c r="A948" s="23" t="n"/>
      <c r="D948" s="5" t="n"/>
      <c r="E948" s="21" t="n"/>
      <c r="F948" s="6" t="n"/>
    </row>
    <row r="949">
      <c r="A949" s="23" t="n"/>
      <c r="D949" s="5" t="n"/>
      <c r="E949" s="21" t="n"/>
      <c r="F949" s="6" t="n"/>
    </row>
    <row r="950">
      <c r="A950" s="23" t="n"/>
      <c r="D950" s="5" t="n"/>
      <c r="E950" s="21" t="n"/>
      <c r="F950" s="6" t="n"/>
    </row>
    <row r="951">
      <c r="A951" s="23" t="n"/>
      <c r="D951" s="5" t="n"/>
      <c r="E951" s="21" t="n"/>
      <c r="F951" s="6" t="n"/>
    </row>
    <row r="952">
      <c r="A952" s="23" t="n"/>
      <c r="D952" s="5" t="n"/>
      <c r="E952" s="21" t="n"/>
      <c r="F952" s="6" t="n"/>
    </row>
    <row r="953">
      <c r="A953" s="23" t="n"/>
      <c r="D953" s="5" t="n"/>
      <c r="E953" s="21" t="n"/>
      <c r="F953" s="6" t="n"/>
    </row>
    <row r="954">
      <c r="A954" s="23" t="n"/>
      <c r="D954" s="5" t="n"/>
      <c r="E954" s="21" t="n"/>
      <c r="F954" s="6" t="n"/>
    </row>
    <row r="955">
      <c r="A955" s="23" t="n"/>
      <c r="D955" s="5" t="n"/>
      <c r="E955" s="21" t="n"/>
      <c r="F955" s="6" t="n"/>
    </row>
    <row r="956">
      <c r="A956" s="23" t="n"/>
      <c r="D956" s="5" t="n"/>
      <c r="E956" s="21" t="n"/>
      <c r="F956" s="6" t="n"/>
    </row>
    <row r="957">
      <c r="A957" s="23" t="n"/>
      <c r="D957" s="5" t="n"/>
      <c r="E957" s="21" t="n"/>
      <c r="F957" s="6" t="n"/>
    </row>
    <row r="958">
      <c r="A958" s="23" t="n"/>
      <c r="D958" s="5" t="n"/>
      <c r="E958" s="21" t="n"/>
      <c r="F958" s="6" t="n"/>
    </row>
    <row r="959">
      <c r="A959" s="23" t="n"/>
      <c r="D959" s="5" t="n"/>
      <c r="E959" s="21" t="n"/>
      <c r="F959" s="6" t="n"/>
    </row>
    <row r="960">
      <c r="A960" s="23" t="n"/>
      <c r="D960" s="5" t="n"/>
      <c r="E960" s="21" t="n"/>
      <c r="F960" s="6" t="n"/>
    </row>
    <row r="961">
      <c r="A961" s="23" t="n"/>
      <c r="D961" s="5" t="n"/>
      <c r="E961" s="21" t="n"/>
      <c r="F961" s="6" t="n"/>
    </row>
    <row r="962">
      <c r="A962" s="23" t="n"/>
      <c r="D962" s="5" t="n"/>
      <c r="E962" s="21" t="n"/>
      <c r="F962" s="6" t="n"/>
    </row>
    <row r="963">
      <c r="A963" s="23" t="n"/>
      <c r="D963" s="5" t="n"/>
      <c r="E963" s="21" t="n"/>
      <c r="F963" s="6" t="n"/>
    </row>
    <row r="964">
      <c r="A964" s="23" t="n"/>
      <c r="D964" s="5" t="n"/>
      <c r="E964" s="21" t="n"/>
      <c r="F964" s="6" t="n"/>
    </row>
    <row r="965">
      <c r="A965" s="23" t="n"/>
      <c r="D965" s="5" t="n"/>
      <c r="E965" s="21" t="n"/>
      <c r="F965" s="6" t="n"/>
    </row>
    <row r="966">
      <c r="A966" s="23" t="n"/>
      <c r="D966" s="5" t="n"/>
      <c r="E966" s="21" t="n"/>
      <c r="F966" s="6" t="n"/>
    </row>
    <row r="967">
      <c r="A967" s="23" t="n"/>
      <c r="D967" s="5" t="n"/>
      <c r="E967" s="21" t="n"/>
      <c r="F967" s="6" t="n"/>
    </row>
    <row r="968">
      <c r="A968" s="23" t="n"/>
      <c r="D968" s="5" t="n"/>
      <c r="E968" s="21" t="n"/>
      <c r="F968" s="6" t="n"/>
    </row>
    <row r="969">
      <c r="A969" s="23" t="n"/>
      <c r="D969" s="5" t="n"/>
      <c r="E969" s="21" t="n"/>
      <c r="F969" s="6" t="n"/>
    </row>
    <row r="970">
      <c r="A970" s="23" t="n"/>
      <c r="D970" s="5" t="n"/>
      <c r="E970" s="21" t="n"/>
      <c r="F970" s="6" t="n"/>
    </row>
    <row r="971">
      <c r="A971" s="23" t="n"/>
      <c r="D971" s="5" t="n"/>
      <c r="E971" s="21" t="n"/>
      <c r="F971" s="6" t="n"/>
    </row>
    <row r="972">
      <c r="A972" s="23" t="n"/>
      <c r="D972" s="5" t="n"/>
      <c r="E972" s="21" t="n"/>
      <c r="F972" s="6" t="n"/>
    </row>
    <row r="973">
      <c r="A973" s="23" t="n"/>
      <c r="D973" s="5" t="n"/>
      <c r="E973" s="21" t="n"/>
      <c r="F973" s="6" t="n"/>
    </row>
    <row r="974">
      <c r="A974" s="23" t="n"/>
      <c r="D974" s="5" t="n"/>
      <c r="E974" s="21" t="n"/>
      <c r="F974" s="6" t="n"/>
    </row>
    <row r="975">
      <c r="A975" s="23" t="n"/>
      <c r="D975" s="5" t="n"/>
      <c r="E975" s="21" t="n"/>
      <c r="F975" s="6" t="n"/>
    </row>
    <row r="976">
      <c r="A976" s="23" t="n"/>
      <c r="D976" s="5" t="n"/>
      <c r="E976" s="21" t="n"/>
      <c r="F976" s="6" t="n"/>
    </row>
    <row r="977">
      <c r="A977" s="23" t="n"/>
      <c r="D977" s="5" t="n"/>
      <c r="E977" s="21" t="n"/>
      <c r="F977" s="6" t="n"/>
    </row>
    <row r="978">
      <c r="A978" s="23" t="n"/>
      <c r="D978" s="5" t="n"/>
      <c r="E978" s="21" t="n"/>
      <c r="F978" s="6" t="n"/>
    </row>
    <row r="979">
      <c r="A979" s="23" t="n"/>
      <c r="D979" s="5" t="n"/>
      <c r="E979" s="21" t="n"/>
      <c r="F979" s="6" t="n"/>
    </row>
    <row r="980">
      <c r="A980" s="23" t="n"/>
      <c r="D980" s="5" t="n"/>
      <c r="E980" s="21" t="n"/>
      <c r="F980" s="6" t="n"/>
    </row>
    <row r="981">
      <c r="A981" s="23" t="n"/>
      <c r="D981" s="5" t="n"/>
      <c r="E981" s="21" t="n"/>
      <c r="F981" s="6" t="n"/>
    </row>
    <row r="982">
      <c r="A982" s="23" t="n"/>
      <c r="D982" s="5" t="n"/>
      <c r="E982" s="21" t="n"/>
      <c r="F982" s="6" t="n"/>
    </row>
    <row r="983">
      <c r="A983" s="23" t="n"/>
      <c r="D983" s="5" t="n"/>
      <c r="E983" s="21" t="n"/>
      <c r="F983" s="6" t="n"/>
    </row>
    <row r="984">
      <c r="A984" s="23" t="n"/>
      <c r="D984" s="5" t="n"/>
      <c r="E984" s="21" t="n"/>
      <c r="F984" s="6" t="n"/>
    </row>
    <row r="985">
      <c r="A985" s="23" t="n"/>
      <c r="D985" s="5" t="n"/>
      <c r="E985" s="21" t="n"/>
      <c r="F985" s="6" t="n"/>
    </row>
    <row r="986">
      <c r="A986" s="23" t="n"/>
      <c r="D986" s="5" t="n"/>
      <c r="E986" s="21" t="n"/>
      <c r="F986" s="6" t="n"/>
    </row>
    <row r="987">
      <c r="A987" s="23" t="n"/>
      <c r="D987" s="5" t="n"/>
      <c r="E987" s="21" t="n"/>
      <c r="F987" s="6" t="n"/>
    </row>
    <row r="988">
      <c r="A988" s="23" t="n"/>
      <c r="D988" s="5" t="n"/>
      <c r="E988" s="21" t="n"/>
      <c r="F988" s="6" t="n"/>
    </row>
    <row r="989">
      <c r="A989" s="23" t="n"/>
      <c r="D989" s="5" t="n"/>
      <c r="E989" s="21" t="n"/>
      <c r="F989" s="6" t="n"/>
    </row>
    <row r="990">
      <c r="A990" s="23" t="n"/>
      <c r="D990" s="5" t="n"/>
      <c r="E990" s="21" t="n"/>
      <c r="F990" s="6" t="n"/>
    </row>
    <row r="991">
      <c r="A991" s="23" t="n"/>
      <c r="D991" s="5" t="n"/>
      <c r="E991" s="21" t="n"/>
      <c r="F991" s="6" t="n"/>
    </row>
    <row r="992">
      <c r="A992" s="23" t="n"/>
      <c r="D992" s="5" t="n"/>
      <c r="E992" s="21" t="n"/>
      <c r="F992" s="6" t="n"/>
    </row>
    <row r="993">
      <c r="A993" s="23" t="n"/>
      <c r="D993" s="5" t="n"/>
      <c r="E993" s="21" t="n"/>
      <c r="F993" s="6" t="n"/>
    </row>
    <row r="994">
      <c r="A994" s="23" t="n"/>
      <c r="D994" s="5" t="n"/>
      <c r="E994" s="21" t="n"/>
      <c r="F994" s="6" t="n"/>
    </row>
    <row r="995">
      <c r="A995" s="23" t="n"/>
      <c r="D995" s="5" t="n"/>
      <c r="E995" s="21" t="n"/>
      <c r="F995" s="6" t="n"/>
    </row>
    <row r="996">
      <c r="A996" s="23" t="n"/>
      <c r="D996" s="5" t="n"/>
      <c r="E996" s="21" t="n"/>
      <c r="F996" s="6" t="n"/>
    </row>
    <row r="997">
      <c r="A997" s="23" t="n"/>
      <c r="D997" s="5" t="n"/>
      <c r="E997" s="21" t="n"/>
      <c r="F997" s="6" t="n"/>
    </row>
    <row r="998">
      <c r="A998" s="23" t="n"/>
      <c r="D998" s="5" t="n"/>
      <c r="E998" s="21" t="n"/>
      <c r="F998" s="6" t="n"/>
    </row>
    <row r="999">
      <c r="A999" s="23" t="n"/>
      <c r="D999" s="5" t="n"/>
      <c r="E999" s="21" t="n"/>
      <c r="F999" s="6" t="n"/>
    </row>
    <row r="1000">
      <c r="A1000" s="23" t="n"/>
      <c r="D1000" s="5" t="n"/>
      <c r="E1000" s="21" t="n"/>
      <c r="F1000" s="6" t="n"/>
    </row>
  </sheetData>
  <dataValidations count="2">
    <dataValidation sqref="B36:B1000" showDropDown="0" showInputMessage="0" showErrorMessage="1" allowBlank="1" type="list">
      <formula1>"입금,출금,달러 매수,달러 매도"</formula1>
    </dataValidation>
    <dataValidation sqref="C36:C1000" showDropDown="0" showInputMessage="0" showErrorMessage="0" allowBlank="1" type="list">
      <formula1>='현금투자'!$A$7:$A$12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4" customWidth="1" min="3" max="3"/>
    <col width="44" customWidth="1" min="4" max="4"/>
  </cols>
  <sheetData>
    <row r="1">
      <c r="A1" s="1" t="inlineStr">
        <is>
          <t>설정</t>
        </is>
      </c>
    </row>
    <row r="2">
      <c r="A2" s="2" t="inlineStr">
        <is>
          <t>파란 글씨는 직접 입력하는 칸입니다. 모든 시트는 이름 범위(FX_USDKRW, URL_KR, URL_US)로 이 값을 참조합니다.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이름 범위</t>
        </is>
      </c>
      <c r="D4" s="3" t="inlineStr">
        <is>
          <t>설명</t>
        </is>
      </c>
    </row>
    <row r="5">
      <c r="A5" t="inlineStr">
        <is>
          <t>환율 (USD/KRW)</t>
        </is>
      </c>
      <c r="B5" s="21">
        <f>IFERROR(GOOGLEFINANCE("CURRENCY:USDKRW"), 1350)</f>
        <v/>
      </c>
      <c r="C5" t="inlineStr">
        <is>
          <t>FX_USDKRW</t>
        </is>
      </c>
      <c r="D5" t="inlineStr">
        <is>
          <t>GOOGLEFINANCE 실시간 환율 (실패 시 기본값 1,350)</t>
        </is>
      </c>
    </row>
    <row r="6">
      <c r="A6" t="inlineStr">
        <is>
          <t>국장 파일 URL</t>
        </is>
      </c>
      <c r="B6" s="16" t="inlineStr">
        <is>
          <t>https://docs.google.com/spreadsheets/d/&lt;국장_주식일지 ID&gt;</t>
        </is>
      </c>
      <c r="C6" t="inlineStr">
        <is>
          <t>URL_KR</t>
        </is>
      </c>
      <c r="D6" t="inlineStr">
        <is>
          <t>국장_주식일지 스프레드시트 주소</t>
        </is>
      </c>
    </row>
    <row r="7">
      <c r="A7" t="inlineStr">
        <is>
          <t>미장 파일 URL</t>
        </is>
      </c>
      <c r="B7" s="16" t="inlineStr">
        <is>
          <t>https://docs.google.com/spreadsheets/d/&lt;미장_주식일지 ID&gt;</t>
        </is>
      </c>
      <c r="C7" t="inlineStr">
        <is>
          <t>URL_US</t>
        </is>
      </c>
      <c r="D7" t="inlineStr">
        <is>
          <t>미장_주식일지 스프레드시트 주소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ARRAYFORMULA(LET(imp,LAMBDA(url,mkt,LET(tl,IMPORTRANGE(url,"'종목목록'!A2:A"),tabs,FILTER(tl,tl&lt;&gt;""),REDUCE({"","","","","","",""},tabs,LAMBDA(acc,t,IFERROR(LET(d,IMPORTRANGE(url,"'"&amp;t&amp;"'!A9:J"),f,FILTER(d,(INDEX(d,,2)="매수")+(INDEX(d,,2)="매도")),VSTACK(acc,HSTACK(IF(INDEX(f,,2)&lt;&gt;"",mkt),IF(INDEX(f,,2)&lt;&gt;"",t),CHOOSECOLS(f,2,6,9,10,1)))),acc))))),all,VSTACK(imp(URL_KR,"국장"),imp(URL_US,"미장")),VSTACK({"시장","종목","구분","정산금액","실현손익","계좌","일자"},FILTER(all,INDEX(all,,1)&lt;&gt;"")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종목코드</t>
        </is>
      </c>
      <c r="B1" s="4" t="inlineStr">
        <is>
          <t>시장</t>
        </is>
      </c>
      <c r="C1" s="4" t="inlineStr">
        <is>
          <t>종목탭</t>
        </is>
      </c>
      <c r="D1" s="4" t="inlineStr">
        <is>
          <t>목표가</t>
        </is>
      </c>
      <c r="E1" s="4" t="inlineStr">
        <is>
          <t>손절가</t>
        </is>
      </c>
      <c r="F1" s="4" t="inlineStr">
        <is>
          <t>목표비중(%)</t>
        </is>
      </c>
      <c r="G1" s="4" t="inlineStr">
        <is>
          <t>투자근거</t>
        </is>
      </c>
      <c r="H1" s="4" t="inlineStr">
        <is>
          <t>메모</t>
        </is>
      </c>
      <c r="I1" s="4" t="inlineStr">
        <is>
          <t>수정일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거래키</t>
        </is>
      </c>
      <c r="B1" s="4" t="inlineStr">
        <is>
          <t>시장</t>
        </is>
      </c>
      <c r="C1" s="4" t="inlineStr">
        <is>
          <t>종목탭</t>
        </is>
      </c>
      <c r="D1" s="4" t="inlineStr">
        <is>
          <t>거래일자</t>
        </is>
      </c>
      <c r="E1" s="4" t="inlineStr">
        <is>
          <t>구분</t>
        </is>
      </c>
      <c r="F1" s="4" t="inlineStr">
        <is>
          <t>수량</t>
        </is>
      </c>
      <c r="G1" s="4" t="inlineStr">
        <is>
          <t>단가</t>
        </is>
      </c>
      <c r="H1" s="4" t="inlineStr">
        <is>
          <t>전략태그</t>
        </is>
      </c>
      <c r="I1" s="4" t="inlineStr">
        <is>
          <t>감정</t>
        </is>
      </c>
      <c r="J1" s="4" t="inlineStr">
        <is>
          <t>회고</t>
        </is>
      </c>
      <c r="K1" s="4" t="inlineStr">
        <is>
          <t>평점</t>
        </is>
      </c>
      <c r="L1" s="4" t="inlineStr">
        <is>
          <t>작성일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일자</t>
        </is>
      </c>
      <c r="B1" s="4" t="inlineStr">
        <is>
          <t>투자원금(KRW)</t>
        </is>
      </c>
      <c r="C1" s="4" t="inlineStr">
        <is>
          <t>총평가자산(KRW)</t>
        </is>
      </c>
      <c r="D1" s="4" t="inlineStr">
        <is>
          <t>총손익(KRW)</t>
        </is>
      </c>
      <c r="E1" s="4" t="inlineStr">
        <is>
          <t>수익률</t>
        </is>
      </c>
      <c r="F1" s="4" t="inlineStr">
        <is>
          <t>국장 총평가(KRW)</t>
        </is>
      </c>
      <c r="G1" s="4" t="inlineStr">
        <is>
          <t>미장 총평가(USD)</t>
        </is>
      </c>
      <c r="H1" s="4" t="inlineStr">
        <is>
          <t>예수금(KRW환산)</t>
        </is>
      </c>
      <c r="I1" s="4" t="inlineStr">
        <is>
          <t>환율(USD/KRW)</t>
        </is>
      </c>
      <c r="J1" s="4" t="inlineStr">
        <is>
          <t>국장 원금(KRW)</t>
        </is>
      </c>
      <c r="K1" s="4" t="inlineStr">
        <is>
          <t>미장 원금(USD)</t>
        </is>
      </c>
      <c r="L1" s="4" t="inlineStr">
        <is>
          <t>기록시각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티커</t>
        </is>
      </c>
      <c r="B1" s="4" t="inlineStr">
        <is>
          <t>종목명</t>
        </is>
      </c>
      <c r="C1" s="4" t="inlineStr">
        <is>
          <t>시장</t>
        </is>
      </c>
      <c r="D1" s="4" t="inlineStr">
        <is>
          <t>메모</t>
        </is>
      </c>
      <c r="E1" s="4" t="inlineStr">
        <is>
          <t>추가일</t>
        </is>
      </c>
    </row>
    <row r="2">
      <c r="A2" t="inlineStr">
        <is>
          <t>NASDAQ:MSFT</t>
        </is>
      </c>
      <c r="B2" t="inlineStr">
        <is>
          <t>Microsoft</t>
        </is>
      </c>
      <c r="C2" t="inlineStr">
        <is>
          <t>미장</t>
        </is>
      </c>
      <c r="D2" t="inlineStr">
        <is>
          <t>샘플 관심종목</t>
        </is>
      </c>
      <c r="E2" t="inlineStr">
        <is>
          <t>2026-01-02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작성일</t>
        </is>
      </c>
      <c r="B1" s="4" t="inlineStr">
        <is>
          <t>구분</t>
        </is>
      </c>
      <c r="C1" s="4" t="inlineStr">
        <is>
          <t>티커</t>
        </is>
      </c>
      <c r="D1" s="4" t="inlineStr">
        <is>
          <t>종목명</t>
        </is>
      </c>
      <c r="E1" s="4" t="inlineStr">
        <is>
          <t>단기</t>
        </is>
      </c>
      <c r="F1" s="4" t="inlineStr">
        <is>
          <t>중기</t>
        </is>
      </c>
      <c r="G1" s="4" t="inlineStr">
        <is>
          <t>장기</t>
        </is>
      </c>
      <c r="H1" s="4" t="inlineStr">
        <is>
          <t>요약</t>
        </is>
      </c>
      <c r="I1" s="4" t="inlineStr">
        <is>
          <t>근거·이벤트</t>
        </is>
      </c>
      <c r="J1" s="4" t="inlineStr">
        <is>
          <t>출처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작성일</t>
        </is>
      </c>
      <c r="B1" s="4" t="inlineStr">
        <is>
          <t>구분</t>
        </is>
      </c>
      <c r="C1" s="4" t="inlineStr">
        <is>
          <t>티커</t>
        </is>
      </c>
      <c r="D1" s="4" t="inlineStr">
        <is>
          <t>종목명</t>
        </is>
      </c>
      <c r="E1" s="4" t="inlineStr">
        <is>
          <t>오늘 전망</t>
        </is>
      </c>
      <c r="F1" s="4" t="inlineStr">
        <is>
          <t>요약</t>
        </is>
      </c>
      <c r="G1" s="4" t="inlineStr">
        <is>
          <t>체크포인트</t>
        </is>
      </c>
      <c r="H1" s="4" t="inlineStr">
        <is>
          <t>출처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키</t>
        </is>
      </c>
      <c r="B1" s="4" t="inlineStr">
        <is>
          <t>신호일</t>
        </is>
      </c>
      <c r="C1" s="4" t="inlineStr">
        <is>
          <t>시장</t>
        </is>
      </c>
      <c r="D1" s="4" t="inlineStr">
        <is>
          <t>티커</t>
        </is>
      </c>
      <c r="E1" s="4" t="inlineStr">
        <is>
          <t>종목명</t>
        </is>
      </c>
      <c r="F1" s="4" t="inlineStr">
        <is>
          <t>구분</t>
        </is>
      </c>
      <c r="G1" s="4" t="inlineStr">
        <is>
          <t>전략</t>
        </is>
      </c>
      <c r="H1" s="4" t="inlineStr">
        <is>
          <t>신호</t>
        </is>
      </c>
      <c r="I1" s="4" t="inlineStr">
        <is>
          <t>근거</t>
        </is>
      </c>
      <c r="J1" s="4" t="inlineStr">
        <is>
          <t>가격</t>
        </is>
      </c>
      <c r="K1" s="4" t="inlineStr">
        <is>
          <t>기준 심볼</t>
        </is>
      </c>
      <c r="L1" s="4" t="inlineStr">
        <is>
          <t>기록시각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키</t>
        </is>
      </c>
      <c r="B1" s="4" t="inlineStr">
        <is>
          <t>일자</t>
        </is>
      </c>
      <c r="C1" s="4" t="inlineStr">
        <is>
          <t>시장</t>
        </is>
      </c>
      <c r="D1" s="4" t="inlineStr">
        <is>
          <t>티커</t>
        </is>
      </c>
      <c r="E1" s="4" t="inlineStr">
        <is>
          <t>종목명</t>
        </is>
      </c>
      <c r="F1" s="4" t="inlineStr">
        <is>
          <t>현재가</t>
        </is>
      </c>
      <c r="G1" s="4" t="inlineStr">
        <is>
          <t>실적 PER</t>
        </is>
      </c>
      <c r="H1" s="4" t="inlineStr">
        <is>
          <t>12개월 선행 PER</t>
        </is>
      </c>
      <c r="I1" s="4" t="inlineStr">
        <is>
          <t>포워드 PER</t>
        </is>
      </c>
      <c r="J1" s="4" t="inlineStr">
        <is>
          <t>실적 EPS</t>
        </is>
      </c>
      <c r="K1" s="4" t="inlineStr">
        <is>
          <t>12개월 선행 EPS</t>
        </is>
      </c>
      <c r="L1" s="4" t="inlineStr">
        <is>
          <t>올해 회계연도 말</t>
        </is>
      </c>
      <c r="M1" s="4" t="inlineStr">
        <is>
          <t>올해 추정 EPS</t>
        </is>
      </c>
      <c r="N1" s="4" t="inlineStr">
        <is>
          <t>내년 회계연도 말</t>
        </is>
      </c>
      <c r="O1" s="4" t="inlineStr">
        <is>
          <t>내년 추정 EPS</t>
        </is>
      </c>
      <c r="P1" s="4" t="inlineStr">
        <is>
          <t>목표주가</t>
        </is>
      </c>
      <c r="Q1" s="4" t="inlineStr">
        <is>
          <t>투자의견(5=강력매수)</t>
        </is>
      </c>
      <c r="R1" s="4" t="inlineStr">
        <is>
          <t>출처</t>
        </is>
      </c>
      <c r="S1" s="4" t="inlineStr">
        <is>
          <t>기록시각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2026-10-21T07:45:04Z</dcterms:created>
  <dcterms:modified xmlns:dcterms="http://purl.org/dc/terms/" xmlns:xsi="http://www.w3.org/2001/XMLSchema-instance" xsi:type="dcterms:W3CDTF">2026-10-21T07:45:04Z</dcterms:modified>
</cp:coreProperties>
</file>